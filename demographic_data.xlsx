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in\OneDrive\Documents\"/>
    </mc:Choice>
  </mc:AlternateContent>
  <xr:revisionPtr revIDLastSave="0" documentId="13_ncr:1_{969DEDD7-6389-4A42-ACFE-3F76A9897B7D}" xr6:coauthVersionLast="47" xr6:coauthVersionMax="47" xr10:uidLastSave="{00000000-0000-0000-0000-000000000000}"/>
  <bookViews>
    <workbookView xWindow="-120" yWindow="-120" windowWidth="20730" windowHeight="11160" xr2:uid="{60954B82-6761-482A-B31A-BA83A9E35A0A}"/>
  </bookViews>
  <sheets>
    <sheet name="Sheet1" sheetId="1" r:id="rId1"/>
    <sheet name="Pivot Tables" sheetId="4" r:id="rId2"/>
    <sheet name="Income Analysis" sheetId="2" r:id="rId3"/>
    <sheet name="Personal Analysis" sheetId="3" r:id="rId4"/>
  </sheet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 a="1"/>
  <c r="Q3" i="1"/>
  <c r="Q4" i="1" a="1"/>
  <c r="Q4" i="1"/>
  <c r="Q5" i="1" a="1"/>
  <c r="Q5" i="1"/>
  <c r="Q6" i="1" a="1"/>
  <c r="Q6" i="1"/>
  <c r="Q7" i="1" a="1"/>
  <c r="Q7" i="1"/>
  <c r="Q8" i="1" a="1"/>
  <c r="Q8" i="1"/>
  <c r="Q9" i="1" a="1"/>
  <c r="Q9" i="1"/>
  <c r="Q10" i="1" a="1"/>
  <c r="Q10" i="1"/>
  <c r="Q11" i="1" a="1"/>
  <c r="Q11" i="1"/>
  <c r="Q12" i="1" a="1"/>
  <c r="Q12" i="1"/>
  <c r="Q13" i="1" a="1"/>
  <c r="Q13" i="1"/>
  <c r="Q14" i="1" a="1"/>
  <c r="Q14" i="1"/>
  <c r="Q15" i="1" a="1"/>
  <c r="Q15" i="1"/>
  <c r="Q16" i="1" a="1"/>
  <c r="Q16" i="1"/>
  <c r="Q17" i="1" a="1"/>
  <c r="Q17" i="1"/>
  <c r="Q18" i="1" a="1"/>
  <c r="Q18" i="1"/>
  <c r="Q19" i="1" a="1"/>
  <c r="Q19" i="1"/>
  <c r="Q20" i="1" a="1"/>
  <c r="Q20" i="1"/>
  <c r="Q21" i="1" a="1"/>
  <c r="Q21" i="1"/>
  <c r="Q22" i="1" a="1"/>
  <c r="Q22" i="1"/>
  <c r="Q23" i="1" a="1"/>
  <c r="Q23" i="1"/>
  <c r="Q24" i="1" a="1"/>
  <c r="Q24" i="1"/>
  <c r="Q25" i="1" a="1"/>
  <c r="Q25" i="1"/>
  <c r="Q26" i="1" a="1"/>
  <c r="Q26" i="1"/>
  <c r="Q27" i="1" a="1"/>
  <c r="Q27" i="1"/>
  <c r="Q28" i="1" a="1"/>
  <c r="Q28" i="1"/>
  <c r="Q29" i="1" a="1"/>
  <c r="Q29" i="1"/>
  <c r="Q30" i="1" a="1"/>
  <c r="Q30" i="1"/>
  <c r="Q31" i="1" a="1"/>
  <c r="Q31" i="1"/>
  <c r="Q32" i="1" a="1"/>
  <c r="Q32" i="1"/>
  <c r="Q33" i="1" a="1"/>
  <c r="Q33" i="1"/>
  <c r="Q34" i="1" a="1"/>
  <c r="Q34" i="1"/>
  <c r="Q35" i="1" a="1"/>
  <c r="Q35" i="1"/>
  <c r="Q36" i="1" a="1"/>
  <c r="Q36" i="1"/>
  <c r="Q37" i="1" a="1"/>
  <c r="Q37" i="1"/>
  <c r="Q38" i="1" a="1"/>
  <c r="Q38" i="1"/>
  <c r="Q39" i="1" a="1"/>
  <c r="Q39" i="1"/>
  <c r="Q40" i="1" a="1"/>
  <c r="Q40" i="1"/>
  <c r="Q41" i="1" a="1"/>
  <c r="Q41" i="1"/>
  <c r="Q42" i="1" a="1"/>
  <c r="Q42" i="1"/>
  <c r="Q43" i="1" a="1"/>
  <c r="Q43" i="1"/>
  <c r="Q44" i="1" a="1"/>
  <c r="Q44" i="1"/>
  <c r="Q45" i="1" a="1"/>
  <c r="Q45" i="1"/>
  <c r="Q46" i="1" a="1"/>
  <c r="Q46" i="1"/>
  <c r="Q47" i="1" a="1"/>
  <c r="Q47" i="1"/>
  <c r="Q48" i="1" a="1"/>
  <c r="Q48" i="1"/>
  <c r="Q49" i="1" a="1"/>
  <c r="Q49" i="1"/>
  <c r="Q50" i="1" a="1"/>
  <c r="Q50" i="1"/>
  <c r="Q51" i="1" a="1"/>
  <c r="Q51" i="1"/>
  <c r="Q52" i="1" a="1"/>
  <c r="Q52" i="1"/>
  <c r="Q53" i="1" a="1"/>
  <c r="Q53" i="1"/>
  <c r="Q54" i="1" a="1"/>
  <c r="Q54" i="1"/>
  <c r="Q55" i="1" a="1"/>
  <c r="Q55" i="1"/>
  <c r="Q56" i="1" a="1"/>
  <c r="Q56" i="1"/>
  <c r="Q57" i="1" a="1"/>
  <c r="Q57" i="1"/>
  <c r="Q58" i="1" a="1"/>
  <c r="Q58" i="1"/>
  <c r="Q59" i="1" a="1"/>
  <c r="Q59" i="1"/>
  <c r="Q60" i="1" a="1"/>
  <c r="Q60" i="1"/>
  <c r="Q61" i="1" a="1"/>
  <c r="Q61" i="1"/>
  <c r="Q62" i="1" a="1"/>
  <c r="Q62" i="1"/>
  <c r="Q63" i="1" a="1"/>
  <c r="Q63" i="1"/>
  <c r="Q64" i="1" a="1"/>
  <c r="Q64" i="1"/>
  <c r="Q65" i="1" a="1"/>
  <c r="Q65" i="1"/>
  <c r="Q66" i="1" a="1"/>
  <c r="Q66" i="1"/>
  <c r="Q67" i="1" a="1"/>
  <c r="Q67" i="1"/>
  <c r="Q68" i="1" a="1"/>
  <c r="Q68" i="1"/>
  <c r="Q69" i="1" a="1"/>
  <c r="Q69" i="1"/>
  <c r="Q70" i="1" a="1"/>
  <c r="Q70" i="1"/>
  <c r="Q71" i="1" a="1"/>
  <c r="Q71" i="1"/>
  <c r="Q72" i="1" a="1"/>
  <c r="Q72" i="1"/>
  <c r="Q73" i="1" a="1"/>
  <c r="Q73" i="1"/>
  <c r="Q74" i="1" a="1"/>
  <c r="Q74" i="1"/>
  <c r="Q75" i="1" a="1"/>
  <c r="Q75" i="1"/>
  <c r="Q76" i="1" a="1"/>
  <c r="Q76" i="1"/>
  <c r="Q77" i="1" a="1"/>
  <c r="Q77" i="1"/>
  <c r="Q78" i="1" a="1"/>
  <c r="Q78" i="1"/>
  <c r="Q79" i="1" a="1"/>
  <c r="Q79" i="1"/>
  <c r="Q80" i="1" a="1"/>
  <c r="Q80" i="1"/>
  <c r="Q81" i="1" a="1"/>
  <c r="Q81" i="1"/>
  <c r="Q82" i="1" a="1"/>
  <c r="Q82" i="1"/>
  <c r="Q83" i="1" a="1"/>
  <c r="Q83" i="1"/>
  <c r="Q84" i="1" a="1"/>
  <c r="Q84" i="1"/>
  <c r="Q85" i="1" a="1"/>
  <c r="Q85" i="1"/>
  <c r="Q86" i="1" a="1"/>
  <c r="Q86" i="1"/>
  <c r="Q87" i="1" a="1"/>
  <c r="Q87" i="1"/>
  <c r="Q88" i="1" a="1"/>
  <c r="Q88" i="1"/>
  <c r="Q89" i="1" a="1"/>
  <c r="Q89" i="1"/>
  <c r="Q90" i="1" a="1"/>
  <c r="Q90" i="1"/>
  <c r="Q91" i="1" a="1"/>
  <c r="Q91" i="1"/>
  <c r="Q92" i="1" a="1"/>
  <c r="Q92" i="1"/>
  <c r="Q93" i="1" a="1"/>
  <c r="Q93" i="1"/>
  <c r="Q94" i="1" a="1"/>
  <c r="Q94" i="1"/>
  <c r="Q95" i="1" a="1"/>
  <c r="Q95" i="1"/>
  <c r="Q96" i="1" a="1"/>
  <c r="Q96" i="1"/>
  <c r="Q97" i="1" a="1"/>
  <c r="Q97" i="1"/>
  <c r="Q98" i="1" a="1"/>
  <c r="Q98" i="1"/>
  <c r="Q99" i="1" a="1"/>
  <c r="Q99" i="1"/>
  <c r="Q100" i="1" a="1"/>
  <c r="Q100" i="1"/>
  <c r="Q101" i="1" a="1"/>
  <c r="Q101" i="1"/>
  <c r="Q102" i="1" a="1"/>
  <c r="Q102" i="1"/>
  <c r="Q103" i="1" a="1"/>
  <c r="Q103" i="1"/>
  <c r="Q104" i="1" a="1"/>
  <c r="Q104" i="1"/>
  <c r="Q105" i="1" a="1"/>
  <c r="Q105" i="1"/>
  <c r="Q106" i="1" a="1"/>
  <c r="Q106" i="1"/>
  <c r="Q107" i="1" a="1"/>
  <c r="Q107" i="1"/>
  <c r="Q108" i="1" a="1"/>
  <c r="Q108" i="1"/>
  <c r="Q109" i="1" a="1"/>
  <c r="Q109" i="1"/>
  <c r="Q110" i="1" a="1"/>
  <c r="Q110" i="1"/>
  <c r="Q111" i="1" a="1"/>
  <c r="Q111" i="1"/>
  <c r="Q112" i="1" a="1"/>
  <c r="Q112" i="1"/>
  <c r="Q113" i="1" a="1"/>
  <c r="Q113" i="1"/>
  <c r="Q114" i="1" a="1"/>
  <c r="Q114" i="1"/>
  <c r="Q115" i="1" a="1"/>
  <c r="Q115" i="1"/>
  <c r="Q116" i="1" a="1"/>
  <c r="Q116" i="1"/>
  <c r="Q117" i="1" a="1"/>
  <c r="Q117" i="1"/>
  <c r="Q118" i="1" a="1"/>
  <c r="Q118" i="1"/>
  <c r="Q119" i="1" a="1"/>
  <c r="Q119" i="1"/>
  <c r="Q120" i="1" a="1"/>
  <c r="Q120" i="1"/>
  <c r="Q121" i="1" a="1"/>
  <c r="Q121" i="1"/>
  <c r="Q122" i="1" a="1"/>
  <c r="Q122" i="1"/>
  <c r="Q123" i="1" a="1"/>
  <c r="Q123" i="1"/>
  <c r="Q124" i="1" a="1"/>
  <c r="Q124" i="1"/>
  <c r="Q125" i="1" a="1"/>
  <c r="Q125" i="1"/>
  <c r="Q126" i="1" a="1"/>
  <c r="Q126" i="1"/>
  <c r="Q127" i="1" a="1"/>
  <c r="Q127" i="1"/>
  <c r="Q128" i="1" a="1"/>
  <c r="Q128" i="1"/>
  <c r="Q129" i="1" a="1"/>
  <c r="Q129" i="1"/>
  <c r="Q130" i="1" a="1"/>
  <c r="Q130" i="1"/>
  <c r="Q131" i="1" a="1"/>
  <c r="Q131" i="1"/>
  <c r="Q132" i="1" a="1"/>
  <c r="Q132" i="1"/>
  <c r="Q133" i="1" a="1"/>
  <c r="Q133" i="1"/>
  <c r="Q134" i="1" a="1"/>
  <c r="Q134" i="1"/>
  <c r="Q135" i="1" a="1"/>
  <c r="Q135" i="1"/>
  <c r="Q136" i="1" a="1"/>
  <c r="Q136" i="1"/>
  <c r="Q137" i="1" a="1"/>
  <c r="Q137" i="1"/>
  <c r="Q138" i="1" a="1"/>
  <c r="Q138" i="1"/>
  <c r="Q139" i="1" a="1"/>
  <c r="Q139" i="1"/>
  <c r="Q140" i="1" a="1"/>
  <c r="Q140" i="1"/>
  <c r="Q141" i="1" a="1"/>
  <c r="Q141" i="1"/>
  <c r="Q142" i="1" a="1"/>
  <c r="Q142" i="1"/>
  <c r="Q143" i="1" a="1"/>
  <c r="Q143" i="1"/>
  <c r="Q144" i="1" a="1"/>
  <c r="Q144" i="1"/>
  <c r="Q145" i="1" a="1"/>
  <c r="Q145" i="1"/>
  <c r="Q146" i="1" a="1"/>
  <c r="Q146" i="1"/>
  <c r="Q147" i="1" a="1"/>
  <c r="Q147" i="1"/>
  <c r="Q148" i="1" a="1"/>
  <c r="Q148" i="1"/>
  <c r="Q149" i="1" a="1"/>
  <c r="Q149" i="1"/>
  <c r="Q150" i="1" a="1"/>
  <c r="Q150" i="1"/>
  <c r="Q151" i="1" a="1"/>
  <c r="Q151" i="1"/>
  <c r="Q152" i="1" a="1"/>
  <c r="Q152" i="1"/>
  <c r="Q153" i="1" a="1"/>
  <c r="Q153" i="1"/>
  <c r="Q154" i="1" a="1"/>
  <c r="Q154" i="1"/>
  <c r="Q155" i="1" a="1"/>
  <c r="Q155" i="1"/>
  <c r="Q156" i="1" a="1"/>
  <c r="Q156" i="1"/>
  <c r="Q157" i="1" a="1"/>
  <c r="Q157" i="1"/>
  <c r="Q158" i="1" a="1"/>
  <c r="Q158" i="1"/>
  <c r="Q159" i="1" a="1"/>
  <c r="Q159" i="1"/>
  <c r="Q160" i="1" a="1"/>
  <c r="Q160" i="1"/>
  <c r="Q161" i="1" a="1"/>
  <c r="Q161" i="1"/>
  <c r="Q162" i="1" a="1"/>
  <c r="Q162" i="1"/>
  <c r="Q163" i="1" a="1"/>
  <c r="Q163" i="1"/>
  <c r="Q164" i="1" a="1"/>
  <c r="Q164" i="1"/>
  <c r="Q165" i="1" a="1"/>
  <c r="Q165" i="1"/>
  <c r="Q166" i="1" a="1"/>
  <c r="Q166" i="1"/>
  <c r="Q167" i="1" a="1"/>
  <c r="Q167" i="1"/>
  <c r="Q168" i="1" a="1"/>
  <c r="Q168" i="1"/>
  <c r="Q169" i="1" a="1"/>
  <c r="Q169" i="1"/>
  <c r="Q170" i="1" a="1"/>
  <c r="Q170" i="1"/>
  <c r="Q171" i="1" a="1"/>
  <c r="Q171" i="1"/>
  <c r="Q172" i="1" a="1"/>
  <c r="Q172" i="1"/>
  <c r="Q173" i="1" a="1"/>
  <c r="Q173" i="1"/>
  <c r="Q174" i="1" a="1"/>
  <c r="Q174" i="1"/>
  <c r="Q175" i="1" a="1"/>
  <c r="Q175" i="1"/>
  <c r="Q176" i="1" a="1"/>
  <c r="Q176" i="1"/>
  <c r="Q177" i="1" a="1"/>
  <c r="Q177" i="1"/>
  <c r="Q178" i="1" a="1"/>
  <c r="Q178" i="1"/>
  <c r="Q179" i="1" a="1"/>
  <c r="Q179" i="1"/>
  <c r="Q180" i="1" a="1"/>
  <c r="Q180" i="1"/>
  <c r="Q181" i="1" a="1"/>
  <c r="Q181" i="1"/>
  <c r="Q182" i="1" a="1"/>
  <c r="Q182" i="1"/>
  <c r="Q183" i="1" a="1"/>
  <c r="Q183" i="1"/>
  <c r="Q184" i="1" a="1"/>
  <c r="Q184" i="1"/>
  <c r="Q185" i="1" a="1"/>
  <c r="Q185" i="1"/>
  <c r="Q186" i="1" a="1"/>
  <c r="Q186" i="1"/>
  <c r="Q187" i="1" a="1"/>
  <c r="Q187" i="1"/>
  <c r="Q188" i="1" a="1"/>
  <c r="Q188" i="1"/>
  <c r="Q189" i="1" a="1"/>
  <c r="Q189" i="1"/>
  <c r="Q190" i="1" a="1"/>
  <c r="Q190" i="1"/>
  <c r="Q191" i="1" a="1"/>
  <c r="Q191" i="1"/>
  <c r="Q192" i="1" a="1"/>
  <c r="Q192" i="1"/>
  <c r="Q193" i="1" a="1"/>
  <c r="Q193" i="1"/>
  <c r="Q194" i="1" a="1"/>
  <c r="Q194" i="1"/>
  <c r="Q195" i="1" a="1"/>
  <c r="Q195" i="1"/>
  <c r="Q196" i="1" a="1"/>
  <c r="Q196" i="1"/>
  <c r="Q197" i="1" a="1"/>
  <c r="Q197" i="1"/>
  <c r="Q198" i="1" a="1"/>
  <c r="Q198" i="1"/>
  <c r="Q199" i="1" a="1"/>
  <c r="Q199" i="1"/>
  <c r="Q200" i="1" a="1"/>
  <c r="Q200" i="1"/>
  <c r="Q201" i="1" a="1"/>
  <c r="Q201" i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<sst xmlns="http://schemas.openxmlformats.org/spreadsheetml/2006/main" count="1442" uniqueCount="512">
  <si>
    <t>ID</t>
  </si>
  <si>
    <t>Prefix</t>
  </si>
  <si>
    <t>First Name</t>
  </si>
  <si>
    <t>Last Name</t>
  </si>
  <si>
    <t>Birthdate</t>
  </si>
  <si>
    <t>Gender</t>
  </si>
  <si>
    <t>Email Address</t>
  </si>
  <si>
    <t>Annual Income</t>
  </si>
  <si>
    <t>Total Children</t>
  </si>
  <si>
    <t>Education</t>
  </si>
  <si>
    <t>Homeowner</t>
  </si>
  <si>
    <t>Mr</t>
  </si>
  <si>
    <t>Arjun</t>
  </si>
  <si>
    <t>Sharma</t>
  </si>
  <si>
    <t>Male</t>
  </si>
  <si>
    <t>arjun.sharma101@email.com</t>
  </si>
  <si>
    <t>Bachelor</t>
  </si>
  <si>
    <t>Yes</t>
  </si>
  <si>
    <t>Ms</t>
  </si>
  <si>
    <t>Priya</t>
  </si>
  <si>
    <t>Patel</t>
  </si>
  <si>
    <t>Female</t>
  </si>
  <si>
    <t>priya.patel102@email.com</t>
  </si>
  <si>
    <t>Master</t>
  </si>
  <si>
    <t>No</t>
  </si>
  <si>
    <t>Rohan</t>
  </si>
  <si>
    <t>Singh</t>
  </si>
  <si>
    <t>rohan.singh103@email.com</t>
  </si>
  <si>
    <t>Mrs</t>
  </si>
  <si>
    <t>Neha</t>
  </si>
  <si>
    <t>Gupta</t>
  </si>
  <si>
    <t>neha.gupta104@email.com</t>
  </si>
  <si>
    <t>Vikram</t>
  </si>
  <si>
    <t>Mehta</t>
  </si>
  <si>
    <t>vikram.mehta105@email.com</t>
  </si>
  <si>
    <t>PhD</t>
  </si>
  <si>
    <t>Ananya</t>
  </si>
  <si>
    <t>Verma</t>
  </si>
  <si>
    <t>ananya.verma106@email.com</t>
  </si>
  <si>
    <t>Karan</t>
  </si>
  <si>
    <t>Malhotra</t>
  </si>
  <si>
    <t>karan.malhotra107@email.com</t>
  </si>
  <si>
    <t>Isha</t>
  </si>
  <si>
    <t>Kapoor</t>
  </si>
  <si>
    <t>isha.kapoor108@email.com</t>
  </si>
  <si>
    <t>Rajesh</t>
  </si>
  <si>
    <t>Agarwal</t>
  </si>
  <si>
    <t>rajesh.agarwal109@email.com</t>
  </si>
  <si>
    <t>Sneha</t>
  </si>
  <si>
    <t>Jain</t>
  </si>
  <si>
    <t>sneha.jain110@email.com</t>
  </si>
  <si>
    <t>Amit</t>
  </si>
  <si>
    <t>Bansal</t>
  </si>
  <si>
    <t>amit.bansal111@email.com</t>
  </si>
  <si>
    <t>Pooja</t>
  </si>
  <si>
    <t>Saxena</t>
  </si>
  <si>
    <t>pooja.saxena112@email.com</t>
  </si>
  <si>
    <t>Manish</t>
  </si>
  <si>
    <t>Arora</t>
  </si>
  <si>
    <t>manish.arora113@email.com</t>
  </si>
  <si>
    <t>Ritu</t>
  </si>
  <si>
    <t>Tiwari</t>
  </si>
  <si>
    <t>ritu.tiwari114@email.com</t>
  </si>
  <si>
    <t>Sandeep</t>
  </si>
  <si>
    <t>Yadav</t>
  </si>
  <si>
    <t>sandeep.yadav115@email.com</t>
  </si>
  <si>
    <t>Divya</t>
  </si>
  <si>
    <t>Mishra</t>
  </si>
  <si>
    <t>divya.mishra116@email.com</t>
  </si>
  <si>
    <t>Nitin</t>
  </si>
  <si>
    <t>Chopra</t>
  </si>
  <si>
    <t>nitin.chopra117@email.com</t>
  </si>
  <si>
    <t>Kavya</t>
  </si>
  <si>
    <t>Sethi</t>
  </si>
  <si>
    <t>kavya.sethi118@email.com</t>
  </si>
  <si>
    <t>Rahul</t>
  </si>
  <si>
    <t>Khanna</t>
  </si>
  <si>
    <t>rahul.khanna119@email.com</t>
  </si>
  <si>
    <t>Megha</t>
  </si>
  <si>
    <t>Rana</t>
  </si>
  <si>
    <t>megha.rana120@email.com</t>
  </si>
  <si>
    <t>Deepak</t>
  </si>
  <si>
    <t>Singhal</t>
  </si>
  <si>
    <t>deepak.singhal121@email.com</t>
  </si>
  <si>
    <t>Nidhi</t>
  </si>
  <si>
    <t>Garg</t>
  </si>
  <si>
    <t>nidhi.garg122@email.com</t>
  </si>
  <si>
    <t>Hemant</t>
  </si>
  <si>
    <t>Joshi</t>
  </si>
  <si>
    <t>hemant.joshi123@email.com</t>
  </si>
  <si>
    <t>Tanya</t>
  </si>
  <si>
    <t>Bhatt</t>
  </si>
  <si>
    <t>tanya.bhatt124@email.com</t>
  </si>
  <si>
    <t>Abhishek</t>
  </si>
  <si>
    <t>Srivastava</t>
  </si>
  <si>
    <t>abhishek.srivastava125@email.com</t>
  </si>
  <si>
    <t>Shreya</t>
  </si>
  <si>
    <t>Nair</t>
  </si>
  <si>
    <t>shreya.nair126@email.com</t>
  </si>
  <si>
    <t>Gaurav</t>
  </si>
  <si>
    <t>Menon</t>
  </si>
  <si>
    <t>gaurav.menon127@email.com</t>
  </si>
  <si>
    <t>Payal</t>
  </si>
  <si>
    <t>Reddy</t>
  </si>
  <si>
    <t>payal.reddy128@email.com</t>
  </si>
  <si>
    <t>Harsh</t>
  </si>
  <si>
    <t>Vora</t>
  </si>
  <si>
    <t>harsh.vora129@email.com</t>
  </si>
  <si>
    <t>Aarti</t>
  </si>
  <si>
    <t>Desai</t>
  </si>
  <si>
    <t>aarti.desai130@email.com</t>
  </si>
  <si>
    <t>Sachin</t>
  </si>
  <si>
    <t>Pandey</t>
  </si>
  <si>
    <t>sachin.pandey131@email.com</t>
  </si>
  <si>
    <t>Komal</t>
  </si>
  <si>
    <t>Shukla</t>
  </si>
  <si>
    <t>komal.shukla132@email.com</t>
  </si>
  <si>
    <t>Ajay</t>
  </si>
  <si>
    <t>Chaudhary</t>
  </si>
  <si>
    <t>ajay.chaudhary133@email.com</t>
  </si>
  <si>
    <t>Rashmi</t>
  </si>
  <si>
    <t>Dwivedi</t>
  </si>
  <si>
    <t>rashmi.dwivedi134@email.com</t>
  </si>
  <si>
    <t>Mohit</t>
  </si>
  <si>
    <t>Tripathi</t>
  </si>
  <si>
    <t>mohit.tripathi135@email.com</t>
  </si>
  <si>
    <t>Sonal</t>
  </si>
  <si>
    <t>Kaushik</t>
  </si>
  <si>
    <t>sonal.kaushik136@email.com</t>
  </si>
  <si>
    <t>Anil</t>
  </si>
  <si>
    <t>Roy</t>
  </si>
  <si>
    <t>anil.roy137@email.com</t>
  </si>
  <si>
    <t>Juhi</t>
  </si>
  <si>
    <t>Dutta</t>
  </si>
  <si>
    <t>juhi.dutta138@email.com</t>
  </si>
  <si>
    <t>Varun</t>
  </si>
  <si>
    <t>Bose</t>
  </si>
  <si>
    <t>varun.bose139@email.com</t>
  </si>
  <si>
    <t>Simran</t>
  </si>
  <si>
    <t>Ghosh</t>
  </si>
  <si>
    <t>simran.ghosh140@email.com</t>
  </si>
  <si>
    <t>Akash</t>
  </si>
  <si>
    <t>Paul</t>
  </si>
  <si>
    <t>akash.paul141@email.com</t>
  </si>
  <si>
    <t>Riya</t>
  </si>
  <si>
    <t>Das</t>
  </si>
  <si>
    <t>riya.das142@email.com</t>
  </si>
  <si>
    <t>Prakash</t>
  </si>
  <si>
    <t>Sen</t>
  </si>
  <si>
    <t>prakash.sen143@email.com</t>
  </si>
  <si>
    <t>Monika</t>
  </si>
  <si>
    <t>Chatterjee</t>
  </si>
  <si>
    <t>monika.chatterjee144@email.com</t>
  </si>
  <si>
    <t>Naveen</t>
  </si>
  <si>
    <t>Pillai</t>
  </si>
  <si>
    <t>naveen.pillai145@email.com</t>
  </si>
  <si>
    <t>Reema</t>
  </si>
  <si>
    <t>Kurian</t>
  </si>
  <si>
    <t>reema.kurian146@email.com</t>
  </si>
  <si>
    <t>Suraj</t>
  </si>
  <si>
    <t>Thomas</t>
  </si>
  <si>
    <t>suraj.thomas147@email.com</t>
  </si>
  <si>
    <t>Anita</t>
  </si>
  <si>
    <t>George</t>
  </si>
  <si>
    <t>anita.george148@email.com</t>
  </si>
  <si>
    <t>Rakesh</t>
  </si>
  <si>
    <t>Mathew</t>
  </si>
  <si>
    <t>rakesh.mathew149@email.com</t>
  </si>
  <si>
    <t>Pallavi</t>
  </si>
  <si>
    <t>Joseph</t>
  </si>
  <si>
    <t>pallavi.joseph150@email.com</t>
  </si>
  <si>
    <t>Dinesh</t>
  </si>
  <si>
    <t>Fernandes</t>
  </si>
  <si>
    <t>dinesh.fernandes151@email.com</t>
  </si>
  <si>
    <t>Kirti</t>
  </si>
  <si>
    <t>Pinto</t>
  </si>
  <si>
    <t>kirti.pinto152@email.com</t>
  </si>
  <si>
    <t>Umesh</t>
  </si>
  <si>
    <t>Naik</t>
  </si>
  <si>
    <t>umesh.naik153@email.com</t>
  </si>
  <si>
    <t>Preeti</t>
  </si>
  <si>
    <t>Kulkarni</t>
  </si>
  <si>
    <t>preeti.kulkarni154@email.com</t>
  </si>
  <si>
    <t>Sunil</t>
  </si>
  <si>
    <t>Patwardhan</t>
  </si>
  <si>
    <t>sunil.patwardhan155@email.com</t>
  </si>
  <si>
    <t>Madhuri</t>
  </si>
  <si>
    <t>madhuri.joshi156@email.com</t>
  </si>
  <si>
    <t>Ashish</t>
  </si>
  <si>
    <t>Deshpande</t>
  </si>
  <si>
    <t>ashish.deshpande157@email.com</t>
  </si>
  <si>
    <t>Namrata</t>
  </si>
  <si>
    <t>Apte</t>
  </si>
  <si>
    <t>namrata.apte158@email.com</t>
  </si>
  <si>
    <t>Rajiv</t>
  </si>
  <si>
    <t>Pathak</t>
  </si>
  <si>
    <t>rajiv.pathak159@email.com</t>
  </si>
  <si>
    <t>Swati</t>
  </si>
  <si>
    <t>Nigam</t>
  </si>
  <si>
    <t>swati.nigam160@email.com</t>
  </si>
  <si>
    <t>Vivek</t>
  </si>
  <si>
    <t>Soni</t>
  </si>
  <si>
    <t>vivek.soni161@email.com</t>
  </si>
  <si>
    <t>Shruti</t>
  </si>
  <si>
    <t>Mathur</t>
  </si>
  <si>
    <t>shruti.mathur162@email.com</t>
  </si>
  <si>
    <t>Tarun</t>
  </si>
  <si>
    <t>Oberoi</t>
  </si>
  <si>
    <t>tarun.oberoi163@email.com</t>
  </si>
  <si>
    <t>Rachna</t>
  </si>
  <si>
    <t>Anand</t>
  </si>
  <si>
    <t>rachna.anand164@email.com</t>
  </si>
  <si>
    <t>Yash</t>
  </si>
  <si>
    <t>Bedi</t>
  </si>
  <si>
    <t>yash.bedi165@email.com</t>
  </si>
  <si>
    <t>Muskan</t>
  </si>
  <si>
    <t>Puri</t>
  </si>
  <si>
    <t>muskan.puri166@email.com</t>
  </si>
  <si>
    <t>Ritvik</t>
  </si>
  <si>
    <t>Dhingra</t>
  </si>
  <si>
    <t>ritvik.dhingra167@email.com</t>
  </si>
  <si>
    <t>Sakshi</t>
  </si>
  <si>
    <t>Luthra</t>
  </si>
  <si>
    <t>sakshi.luthra168@email.com</t>
  </si>
  <si>
    <t>Parth</t>
  </si>
  <si>
    <t>Sabharwal</t>
  </si>
  <si>
    <t>parth.sabharwal169@email.com</t>
  </si>
  <si>
    <t>Neeti</t>
  </si>
  <si>
    <t>Dogra</t>
  </si>
  <si>
    <t>neeti.dogra170@email.com</t>
  </si>
  <si>
    <t>Ronit</t>
  </si>
  <si>
    <t>ronit.arora171@email.com</t>
  </si>
  <si>
    <t>Trisha</t>
  </si>
  <si>
    <t>Malik</t>
  </si>
  <si>
    <t>trisha.malik172@email.com</t>
  </si>
  <si>
    <t>Kunal</t>
  </si>
  <si>
    <t>Chawla</t>
  </si>
  <si>
    <t>kunal.chawla173@email.com</t>
  </si>
  <si>
    <t>Ira</t>
  </si>
  <si>
    <t>Suri</t>
  </si>
  <si>
    <t>ira.suri174@email.com</t>
  </si>
  <si>
    <t>Aryan</t>
  </si>
  <si>
    <t>Dua</t>
  </si>
  <si>
    <t>aryan.dua175@email.com</t>
  </si>
  <si>
    <t>Naina</t>
  </si>
  <si>
    <t>Kohli</t>
  </si>
  <si>
    <t>naina.kohli176@email.com</t>
  </si>
  <si>
    <t>Rohit</t>
  </si>
  <si>
    <t>Arneja</t>
  </si>
  <si>
    <t>rohit.arneja177@email.com</t>
  </si>
  <si>
    <t>Tanvi</t>
  </si>
  <si>
    <t>Sachdeva</t>
  </si>
  <si>
    <t>tanvi.sachdeva178@email.com</t>
  </si>
  <si>
    <t>Dev</t>
  </si>
  <si>
    <t>Bagga</t>
  </si>
  <si>
    <t>dev.bagga179@email.com</t>
  </si>
  <si>
    <t>Kanika</t>
  </si>
  <si>
    <t>Nanda</t>
  </si>
  <si>
    <t>kanika.nanda180@email.com</t>
  </si>
  <si>
    <t>Sumit</t>
  </si>
  <si>
    <t>Khurana</t>
  </si>
  <si>
    <t>sumit.khurana181@email.com</t>
  </si>
  <si>
    <t>Ayesha</t>
  </si>
  <si>
    <t>Grover</t>
  </si>
  <si>
    <t>ayesha.grover182@email.com</t>
  </si>
  <si>
    <t>Kapil</t>
  </si>
  <si>
    <t>Wadhwa</t>
  </si>
  <si>
    <t>kapil.wadhwa183@email.com</t>
  </si>
  <si>
    <t>Shivani</t>
  </si>
  <si>
    <t>Saluja</t>
  </si>
  <si>
    <t>shivani.saluja184@email.com</t>
  </si>
  <si>
    <t>Nikhil</t>
  </si>
  <si>
    <t>Juneja</t>
  </si>
  <si>
    <t>nikhil.juneja185@email.com</t>
  </si>
  <si>
    <t>Priyanka</t>
  </si>
  <si>
    <t>Ahuja</t>
  </si>
  <si>
    <t>priyanka.ahuja186@email.com</t>
  </si>
  <si>
    <t>Hitesh</t>
  </si>
  <si>
    <t>Behl</t>
  </si>
  <si>
    <t>hitesh.behl187@email.com</t>
  </si>
  <si>
    <t>Garima</t>
  </si>
  <si>
    <t>Talwar</t>
  </si>
  <si>
    <t>garima.talwar188@email.com</t>
  </si>
  <si>
    <t>Saurabh</t>
  </si>
  <si>
    <t>Kalra</t>
  </si>
  <si>
    <t>saurabh.kalra189@email.com</t>
  </si>
  <si>
    <t>Ankita</t>
  </si>
  <si>
    <t>Rishi</t>
  </si>
  <si>
    <t>ankita.rishi190@email.com</t>
  </si>
  <si>
    <t>Harshit</t>
  </si>
  <si>
    <t>Pahwa</t>
  </si>
  <si>
    <t>harshit.pahwa191@email.com</t>
  </si>
  <si>
    <t>Rupal</t>
  </si>
  <si>
    <t>Dang</t>
  </si>
  <si>
    <t>rupal.dang192@email.com</t>
  </si>
  <si>
    <t>Aditya</t>
  </si>
  <si>
    <t>Sehgal</t>
  </si>
  <si>
    <t>aditya.sehgal193@email.com</t>
  </si>
  <si>
    <t>Mitali</t>
  </si>
  <si>
    <t>mitali.arneja194@email.com</t>
  </si>
  <si>
    <t>Siddharth</t>
  </si>
  <si>
    <t>Tandon</t>
  </si>
  <si>
    <t>siddharth.tandon195@email.com</t>
  </si>
  <si>
    <t>Ekta</t>
  </si>
  <si>
    <t>Bajaj</t>
  </si>
  <si>
    <t>ekta.bajaj196@email.com</t>
  </si>
  <si>
    <t>Vishal</t>
  </si>
  <si>
    <t>Chadha</t>
  </si>
  <si>
    <t>vishal.chadha197@email.com</t>
  </si>
  <si>
    <t>Ruchi</t>
  </si>
  <si>
    <t>Madan</t>
  </si>
  <si>
    <t>ruchi.madan198@email.com</t>
  </si>
  <si>
    <t>Alok</t>
  </si>
  <si>
    <t>Sarin</t>
  </si>
  <si>
    <t>alok.sarin199@email.com</t>
  </si>
  <si>
    <t>Bhavna</t>
  </si>
  <si>
    <t>bhavna.puri200@email.com</t>
  </si>
  <si>
    <t>Akshay</t>
  </si>
  <si>
    <t>Bhalla</t>
  </si>
  <si>
    <t>akshay.bhalla201@email.com</t>
  </si>
  <si>
    <t>Shalini</t>
  </si>
  <si>
    <t>Mehra</t>
  </si>
  <si>
    <t>shalini.mehra202@email.com</t>
  </si>
  <si>
    <t>Rajat</t>
  </si>
  <si>
    <t>Kapur</t>
  </si>
  <si>
    <t>rajat.kapur203@email.com</t>
  </si>
  <si>
    <t>Anjali</t>
  </si>
  <si>
    <t>anjali.khurana204@email.com</t>
  </si>
  <si>
    <t>Sameer</t>
  </si>
  <si>
    <t>Sood</t>
  </si>
  <si>
    <t>sameer.sood205@email.com</t>
  </si>
  <si>
    <t>Pallak</t>
  </si>
  <si>
    <t>pallak.grover206@email.com</t>
  </si>
  <si>
    <t>Vinay</t>
  </si>
  <si>
    <t>vinay.chopra207@email.com</t>
  </si>
  <si>
    <t>Neetu</t>
  </si>
  <si>
    <t>neetu.arora208@email.com</t>
  </si>
  <si>
    <t>sumit.malik209@email.com</t>
  </si>
  <si>
    <t>Radhika</t>
  </si>
  <si>
    <t>Batra</t>
  </si>
  <si>
    <t>radhika.batra210@email.com</t>
  </si>
  <si>
    <t>Ankur</t>
  </si>
  <si>
    <t>Nagpal</t>
  </si>
  <si>
    <t>ankur.nagpal211@email.com</t>
  </si>
  <si>
    <t>Sheetal</t>
  </si>
  <si>
    <t>sheetal.puri212@email.com</t>
  </si>
  <si>
    <t>Girish</t>
  </si>
  <si>
    <t>girish.dua213@email.com</t>
  </si>
  <si>
    <t>Twinkle</t>
  </si>
  <si>
    <t>twinkle.sethi214@email.com</t>
  </si>
  <si>
    <t>Pranav</t>
  </si>
  <si>
    <t>pranav.khanna215@email.com</t>
  </si>
  <si>
    <t>Kriti</t>
  </si>
  <si>
    <t>kriti.chawla216@email.com</t>
  </si>
  <si>
    <t>Mayank</t>
  </si>
  <si>
    <t>mayank.anand217@email.com</t>
  </si>
  <si>
    <t>Sonia</t>
  </si>
  <si>
    <t>sonia.luthra218@email.com</t>
  </si>
  <si>
    <t>Ashwin</t>
  </si>
  <si>
    <t>ashwin.kalra219@email.com</t>
  </si>
  <si>
    <t>Neelam</t>
  </si>
  <si>
    <t>neelam.talwar220@email.com</t>
  </si>
  <si>
    <t>Ravi</t>
  </si>
  <si>
    <t>ravi.wadhwa221@email.com</t>
  </si>
  <si>
    <t>Ritika</t>
  </si>
  <si>
    <t>ritika.saluja222@email.com</t>
  </si>
  <si>
    <t>naveen.juneja223@email.com</t>
  </si>
  <si>
    <t>monika.ahuja224@email.com</t>
  </si>
  <si>
    <t>Deepanshu</t>
  </si>
  <si>
    <t>deepanshu.behl225@email.com</t>
  </si>
  <si>
    <t>Shraddha</t>
  </si>
  <si>
    <t>shraddha.rishi226@email.com</t>
  </si>
  <si>
    <t>rohit.pahwa227@email.com</t>
  </si>
  <si>
    <t>Meenakshi</t>
  </si>
  <si>
    <t>meenakshi.dang228@email.com</t>
  </si>
  <si>
    <t>Vikas</t>
  </si>
  <si>
    <t>vikas.sehgal229@email.com</t>
  </si>
  <si>
    <t>Anusha</t>
  </si>
  <si>
    <t>anusha.bajaj230@email.com</t>
  </si>
  <si>
    <t>Tushar</t>
  </si>
  <si>
    <t>tushar.chadha231@email.com</t>
  </si>
  <si>
    <t>payal.madan232@email.com</t>
  </si>
  <si>
    <t>Kamal</t>
  </si>
  <si>
    <t>kamal.sarin233@email.com</t>
  </si>
  <si>
    <t>Simmi</t>
  </si>
  <si>
    <t>simmi.bhalla234@email.com</t>
  </si>
  <si>
    <t>Arvind</t>
  </si>
  <si>
    <t>arvind.mehra235@email.com</t>
  </si>
  <si>
    <t>Shweta</t>
  </si>
  <si>
    <t>shweta.kapur236@email.com</t>
  </si>
  <si>
    <t>Dheeraj</t>
  </si>
  <si>
    <t>dheeraj.sood237@email.com</t>
  </si>
  <si>
    <t>Nikita</t>
  </si>
  <si>
    <t>nikita.grover238@email.com</t>
  </si>
  <si>
    <t>Lokesh</t>
  </si>
  <si>
    <t>lokesh.chopra239@email.com</t>
  </si>
  <si>
    <t>Akriti</t>
  </si>
  <si>
    <t>akriti.arora240@email.com</t>
  </si>
  <si>
    <t>Manav</t>
  </si>
  <si>
    <t>manav.malik241@email.com</t>
  </si>
  <si>
    <t>juhi.batra242@email.com</t>
  </si>
  <si>
    <t>Sachit</t>
  </si>
  <si>
    <t>sachit.nagpal243@email.com</t>
  </si>
  <si>
    <t>Parul</t>
  </si>
  <si>
    <t>parul.puri244@email.com</t>
  </si>
  <si>
    <t>Amitabh</t>
  </si>
  <si>
    <t>amitabh.dua245@email.com</t>
  </si>
  <si>
    <t>ruchi.sethi246@email.com</t>
  </si>
  <si>
    <t>nikhil.khanna247@email.com</t>
  </si>
  <si>
    <t>garima.chawla248@email.com</t>
  </si>
  <si>
    <t>aditya.anand249@email.com</t>
  </si>
  <si>
    <t>Sonam</t>
  </si>
  <si>
    <t>sonam.luthra250@email.com</t>
  </si>
  <si>
    <t>Harish</t>
  </si>
  <si>
    <t>harish.kalra251@email.com</t>
  </si>
  <si>
    <t>Tina</t>
  </si>
  <si>
    <t>tina.talwar252@email.com</t>
  </si>
  <si>
    <t>Puneet</t>
  </si>
  <si>
    <t>puneet.wadhwa253@email.com</t>
  </si>
  <si>
    <t>Muskaan</t>
  </si>
  <si>
    <t>muskaan.saluja254@email.com</t>
  </si>
  <si>
    <t>varun.juneja255@email.com</t>
  </si>
  <si>
    <t>divya.ahuja256@email.com</t>
  </si>
  <si>
    <t>Kartik</t>
  </si>
  <si>
    <t>kartik.behl257@email.com</t>
  </si>
  <si>
    <t>Ishita</t>
  </si>
  <si>
    <t>ishita.rishi258@email.com</t>
  </si>
  <si>
    <t>sandeep.pahwa259@email.com</t>
  </si>
  <si>
    <t>Aastha</t>
  </si>
  <si>
    <t>aastha.dang260@email.com</t>
  </si>
  <si>
    <t>Abhinav</t>
  </si>
  <si>
    <t>abhinav.sehgal261@email.com</t>
  </si>
  <si>
    <t>Khushi</t>
  </si>
  <si>
    <t>khushi.bajaj262@email.com</t>
  </si>
  <si>
    <t>rajat.chadha263@email.com</t>
  </si>
  <si>
    <t>kanika.madan264@email.com</t>
  </si>
  <si>
    <t>mohit.sarin265@email.com</t>
  </si>
  <si>
    <t>Roshni</t>
  </si>
  <si>
    <t>roshni.bhalla266@email.com</t>
  </si>
  <si>
    <t>anand.mehra267@email.com</t>
  </si>
  <si>
    <t>priyanka.kapur268@email.com</t>
  </si>
  <si>
    <t>Gautam</t>
  </si>
  <si>
    <t>gautam.sood269@email.com</t>
  </si>
  <si>
    <t>ekta.grover270@email.com</t>
  </si>
  <si>
    <t>vivek.chopra271@email.com</t>
  </si>
  <si>
    <t>Renu</t>
  </si>
  <si>
    <t>renu.arora272@email.com</t>
  </si>
  <si>
    <t>Ashok</t>
  </si>
  <si>
    <t>ashok.malik273@email.com</t>
  </si>
  <si>
    <t>shivani.batra274@email.com</t>
  </si>
  <si>
    <t>manish.nagpal275@email.com</t>
  </si>
  <si>
    <t>Rekha</t>
  </si>
  <si>
    <t>rekha.puri276@email.com</t>
  </si>
  <si>
    <t>nitin.dua277@email.com</t>
  </si>
  <si>
    <t>tanya.sethi278@email.com</t>
  </si>
  <si>
    <t>Sunny</t>
  </si>
  <si>
    <t>sunny.khanna279@email.com</t>
  </si>
  <si>
    <t>neha.chawla280@email.com</t>
  </si>
  <si>
    <t>Ajit</t>
  </si>
  <si>
    <t>ajit.anand281@email.com</t>
  </si>
  <si>
    <t>komal.luthra282@email.com</t>
  </si>
  <si>
    <t>Rajeev</t>
  </si>
  <si>
    <t>rajeev.kalra283@email.com</t>
  </si>
  <si>
    <t>Sonali</t>
  </si>
  <si>
    <t>sonali.talwar284@email.com</t>
  </si>
  <si>
    <t>Pradeep</t>
  </si>
  <si>
    <t>pradeep.wadhwa285@email.com</t>
  </si>
  <si>
    <t>Nisha</t>
  </si>
  <si>
    <t>nisha.saluja286@email.com</t>
  </si>
  <si>
    <t>karan.juneja287@email.com</t>
  </si>
  <si>
    <t>ritika.ahuja288@email.com</t>
  </si>
  <si>
    <t>Anup</t>
  </si>
  <si>
    <t>anup.behl289@email.com</t>
  </si>
  <si>
    <t>preeti.rishi290@email.com</t>
  </si>
  <si>
    <t>Shashank</t>
  </si>
  <si>
    <t>shashank.pahwa291@email.com</t>
  </si>
  <si>
    <t>Poonam</t>
  </si>
  <si>
    <t>poonam.dang292@email.com</t>
  </si>
  <si>
    <t>Ayush</t>
  </si>
  <si>
    <t>ayush.sehgal293@email.com</t>
  </si>
  <si>
    <t>Rhea</t>
  </si>
  <si>
    <t>rhea.bajaj294@email.com</t>
  </si>
  <si>
    <t>Raghav</t>
  </si>
  <si>
    <t>raghav.chadha295@email.com</t>
  </si>
  <si>
    <t>Mehak</t>
  </si>
  <si>
    <t>mehak.madan296@email.com</t>
  </si>
  <si>
    <t>Devendra</t>
  </si>
  <si>
    <t>devendra.sarin297@email.com</t>
  </si>
  <si>
    <t>Anvi</t>
  </si>
  <si>
    <t>anvi.bhalla298@email.com</t>
  </si>
  <si>
    <t>Lokendra</t>
  </si>
  <si>
    <t>lokendra.mehra299@email.com</t>
  </si>
  <si>
    <t>Sakina</t>
  </si>
  <si>
    <t>sakina.kapur300@email.com</t>
  </si>
  <si>
    <t>Martial Status</t>
  </si>
  <si>
    <t>Full Name</t>
  </si>
  <si>
    <t>Age</t>
  </si>
  <si>
    <t>Salary Category</t>
  </si>
  <si>
    <t>Parents Status</t>
  </si>
  <si>
    <t>Education Rank</t>
  </si>
  <si>
    <t>Income Analysis</t>
  </si>
  <si>
    <t>Personal Analysis</t>
  </si>
  <si>
    <t>Grand Total</t>
  </si>
  <si>
    <t>Average of Annual Income</t>
  </si>
  <si>
    <t>High</t>
  </si>
  <si>
    <t>Low</t>
  </si>
  <si>
    <t>Medium</t>
  </si>
  <si>
    <t>Avg Income</t>
  </si>
  <si>
    <t>Total Customers</t>
  </si>
  <si>
    <t>Married</t>
  </si>
  <si>
    <t>Single</t>
  </si>
  <si>
    <t>Avg Annual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</si>
</sst>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sz val="2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left" wrapText="1" indent="66"/>
    </xf>
    <xf numFmtId="0" fontId="1" fillId="2" borderId="0" xfId="0" applyFont="1" applyFill="1" applyAlignment="1">
      <alignment horizontal="left" wrapText="1" indent="66"/>
    </xf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indent="43"/>
    </xf>
    <xf numFmtId="0" fontId="1" fillId="2" borderId="0" xfId="0" applyFont="1" applyFill="1" applyAlignment="1">
      <alignment horizontal="left" indent="43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4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2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1B2A41"/>
      <color rgb="FF2D2D2D"/>
      <color rgb="FF0EA5E9"/>
      <color rgb="FFF97316"/>
      <color rgb="FFF8FAFC"/>
      <color rgb="FFF43F5E"/>
      <color rgb="FF14B8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Income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F1-48E0-8018-CC80069E2F7D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F1-48E0-8018-CC80069E2F7D}"/>
              </c:ext>
            </c:extLst>
          </c:dPt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76</c:v>
              </c:pt>
              <c:pt idx="1">
                <c:v>7</c:v>
              </c:pt>
              <c:pt idx="2">
                <c:v>117</c:v>
              </c:pt>
            </c:numLit>
          </c:val>
          <c:extLst>
            <c:ext xmlns:c16="http://schemas.microsoft.com/office/drawing/2014/chart" uri="{C3380CC4-5D6E-409C-BE32-E72D297353CC}">
              <c16:uniqueId val="{00000001-A8F1-48E0-8018-CC80069E2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187055"/>
        <c:axId val="2084182063"/>
      </c:barChart>
      <c:catAx>
        <c:axId val="208418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182063"/>
        <c:crosses val="autoZero"/>
        <c:auto val="1"/>
        <c:lblAlgn val="ctr"/>
        <c:lblOffset val="100"/>
        <c:noMultiLvlLbl val="0"/>
      </c:catAx>
      <c:valAx>
        <c:axId val="208418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18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Annual income by education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Bachelor</c:v>
              </c:pt>
              <c:pt idx="1">
                <c:v>Master</c:v>
              </c:pt>
              <c:pt idx="2">
                <c:v>PhD</c:v>
              </c:pt>
            </c:strLit>
          </c:cat>
          <c:val>
            <c:numLit>
              <c:formatCode>General</c:formatCode>
              <c:ptCount val="3"/>
              <c:pt idx="0">
                <c:v>70489.795918367352</c:v>
              </c:pt>
              <c:pt idx="1">
                <c:v>81871.794871794875</c:v>
              </c:pt>
              <c:pt idx="2">
                <c:v>93250</c:v>
              </c:pt>
            </c:numLit>
          </c:val>
          <c:extLst>
            <c:ext xmlns:c16="http://schemas.microsoft.com/office/drawing/2014/chart" uri="{C3380CC4-5D6E-409C-BE32-E72D297353CC}">
              <c16:uniqueId val="{00000003-1329-4B24-AB57-9A173EB2F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046703"/>
        <c:axId val="9041295"/>
      </c:barChart>
      <c:catAx>
        <c:axId val="904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1295"/>
        <c:crosses val="autoZero"/>
        <c:auto val="1"/>
        <c:lblAlgn val="ctr"/>
        <c:lblOffset val="100"/>
        <c:noMultiLvlLbl val="0"/>
      </c:catAx>
      <c:valAx>
        <c:axId val="904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Annual Income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6A6-49AC-B8CB-8C43E2ACEAE0}"/>
              </c:ext>
            </c:extLst>
          </c:dPt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67060</c:v>
              </c:pt>
              <c:pt idx="1">
                <c:v>88260</c:v>
              </c:pt>
            </c:numLit>
          </c:val>
          <c:extLst>
            <c:ext xmlns:c16="http://schemas.microsoft.com/office/drawing/2014/chart" uri="{C3380CC4-5D6E-409C-BE32-E72D297353CC}">
              <c16:uniqueId val="{00000001-E6A6-49AC-B8CB-8C43E2ACE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823"/>
        <c:axId val="1538239"/>
      </c:barChart>
      <c:catAx>
        <c:axId val="153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39"/>
        <c:crosses val="autoZero"/>
        <c:auto val="1"/>
        <c:lblAlgn val="ctr"/>
        <c:lblOffset val="100"/>
        <c:noMultiLvlLbl val="0"/>
      </c:catAx>
      <c:valAx>
        <c:axId val="15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Annual Income</a:t>
            </a:r>
            <a:r>
              <a:rPr lang="en-US" baseline="0"/>
              <a:t> by Martial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FF-423D-94D5-EA155EEBB602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5FF-423D-94D5-EA155EEBB602}"/>
              </c:ext>
            </c:extLst>
          </c:dPt>
          <c:cat>
            <c:strLit>
              <c:ptCount val="2"/>
              <c:pt idx="0">
                <c:v>Married</c:v>
              </c:pt>
              <c:pt idx="1">
                <c:v>Single</c:v>
              </c:pt>
            </c:strLit>
          </c:cat>
          <c:val>
            <c:numLit>
              <c:formatCode>General</c:formatCode>
              <c:ptCount val="2"/>
              <c:pt idx="0">
                <c:v>85743.801652892565</c:v>
              </c:pt>
              <c:pt idx="1">
                <c:v>65278.481012658231</c:v>
              </c:pt>
            </c:numLit>
          </c:val>
          <c:extLst>
            <c:ext xmlns:c16="http://schemas.microsoft.com/office/drawing/2014/chart" uri="{C3380CC4-5D6E-409C-BE32-E72D297353CC}">
              <c16:uniqueId val="{00000001-15FF-423D-94D5-EA155EEBB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0989167"/>
        <c:axId val="2140987919"/>
      </c:barChart>
      <c:catAx>
        <c:axId val="214098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987919"/>
        <c:crosses val="autoZero"/>
        <c:auto val="1"/>
        <c:lblAlgn val="ctr"/>
        <c:lblOffset val="100"/>
        <c:noMultiLvlLbl val="0"/>
      </c:catAx>
      <c:valAx>
        <c:axId val="214098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98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Annual Income by Parental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Non Parents</c:v>
              </c:pt>
              <c:pt idx="1">
                <c:v>Parents</c:v>
              </c:pt>
            </c:strLit>
          </c:cat>
          <c:val>
            <c:numLit>
              <c:formatCode>General</c:formatCode>
              <c:ptCount val="2"/>
              <c:pt idx="0">
                <c:v>65278.481012658231</c:v>
              </c:pt>
              <c:pt idx="1">
                <c:v>85743.801652892565</c:v>
              </c:pt>
            </c:numLit>
          </c:val>
          <c:extLst>
            <c:ext xmlns:c16="http://schemas.microsoft.com/office/drawing/2014/chart" uri="{C3380CC4-5D6E-409C-BE32-E72D297353CC}">
              <c16:uniqueId val="{00000001-A118-47F2-855C-0D3158D10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5452383"/>
        <c:axId val="15451967"/>
      </c:barChart>
      <c:catAx>
        <c:axId val="1545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1967"/>
        <c:crosses val="autoZero"/>
        <c:auto val="1"/>
        <c:lblAlgn val="ctr"/>
        <c:lblOffset val="100"/>
        <c:noMultiLvlLbl val="0"/>
      </c:catAx>
      <c:valAx>
        <c:axId val="1545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Homeownership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D92-4E38-AD40-5F866871FFA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D92-4E38-AD40-5F866871FF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50</c:v>
              </c:pt>
              <c:pt idx="1">
                <c:v>150</c:v>
              </c:pt>
            </c:numLit>
          </c:val>
          <c:extLst>
            <c:ext xmlns:c16="http://schemas.microsoft.com/office/drawing/2014/chart" uri="{C3380CC4-5D6E-409C-BE32-E72D297353CC}">
              <c16:uniqueId val="{00000004-6D92-4E38-AD40-5F866871FFA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Martial Status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4B8A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2FD-4AA5-B417-C7A1F58C16D6}"/>
              </c:ext>
            </c:extLst>
          </c:dPt>
          <c:dPt>
            <c:idx val="1"/>
            <c:invertIfNegative val="0"/>
            <c:bubble3D val="0"/>
            <c:spPr>
              <a:solidFill>
                <a:srgbClr val="F43F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FD-4AA5-B417-C7A1F58C16D6}"/>
              </c:ext>
            </c:extLst>
          </c:dPt>
          <c:cat>
            <c:strLit>
              <c:ptCount val="2"/>
              <c:pt idx="0">
                <c:v>Married</c:v>
              </c:pt>
              <c:pt idx="1">
                <c:v>Single</c:v>
              </c:pt>
            </c:strLit>
          </c:cat>
          <c:val>
            <c:numLit>
              <c:formatCode>General</c:formatCode>
              <c:ptCount val="2"/>
              <c:pt idx="0">
                <c:v>121</c:v>
              </c:pt>
              <c:pt idx="1">
                <c:v>79</c:v>
              </c:pt>
            </c:numLit>
          </c:val>
          <c:extLst>
            <c:ext xmlns:c16="http://schemas.microsoft.com/office/drawing/2014/chart" uri="{C3380CC4-5D6E-409C-BE32-E72D297353CC}">
              <c16:uniqueId val="{00000000-F2FD-4AA5-B417-C7A1F58C1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5450719"/>
        <c:axId val="15451551"/>
      </c:barChart>
      <c:catAx>
        <c:axId val="1545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1551"/>
        <c:crosses val="autoZero"/>
        <c:auto val="1"/>
        <c:lblAlgn val="ctr"/>
        <c:lblOffset val="100"/>
        <c:noMultiLvlLbl val="0"/>
      </c:catAx>
      <c:valAx>
        <c:axId val="15451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Parental Status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5-3313-4294-8F1C-A7ACE085B172}"/>
              </c:ext>
            </c:extLst>
          </c:dPt>
          <c:dPt>
            <c:idx val="1"/>
            <c:invertIfNegative val="0"/>
            <c:bubble3D val="0"/>
            <c:spPr>
              <a:solidFill>
                <a:srgbClr val="F9731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4-3313-4294-8F1C-A7ACE085B172}"/>
              </c:ext>
            </c:extLst>
          </c:dPt>
          <c:cat>
            <c:strLit>
              <c:ptCount val="2"/>
              <c:pt idx="0">
                <c:v>Non Parents</c:v>
              </c:pt>
              <c:pt idx="1">
                <c:v>Parents</c:v>
              </c:pt>
            </c:strLit>
          </c:cat>
          <c:val>
            <c:numLit>
              <c:formatCode>General</c:formatCode>
              <c:ptCount val="2"/>
              <c:pt idx="0">
                <c:v>79</c:v>
              </c:pt>
              <c:pt idx="1">
                <c:v>121</c:v>
              </c:pt>
            </c:numLit>
          </c:val>
          <c:extLst>
            <c:ext xmlns:c16="http://schemas.microsoft.com/office/drawing/2014/chart" uri="{C3380CC4-5D6E-409C-BE32-E72D297353CC}">
              <c16:uniqueId val="{00000193-3313-4294-8F1C-A7ACE085B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215"/>
        <c:axId val="595087"/>
      </c:barChart>
      <c:catAx>
        <c:axId val="61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087"/>
        <c:crosses val="autoZero"/>
        <c:auto val="1"/>
        <c:lblAlgn val="ctr"/>
        <c:lblOffset val="100"/>
        <c:noMultiLvlLbl val="0"/>
      </c:catAx>
      <c:valAx>
        <c:axId val="59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CE-4F12-8A0B-CB2D0CE7117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3CE-4F12-8A0B-CB2D0CE71176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3CE-4F12-8A0B-CB2D0CE711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Bachelor</c:v>
              </c:pt>
              <c:pt idx="1">
                <c:v>Master</c:v>
              </c:pt>
              <c:pt idx="2">
                <c:v>PhD</c:v>
              </c:pt>
            </c:strLit>
          </c:cat>
          <c:val>
            <c:numLit>
              <c:formatCode>General</c:formatCode>
              <c:ptCount val="3"/>
              <c:pt idx="0">
                <c:v>98</c:v>
              </c:pt>
              <c:pt idx="1">
                <c:v>78</c:v>
              </c:pt>
              <c:pt idx="2">
                <c:v>24</c:v>
              </c:pt>
            </c:numLit>
          </c:val>
          <c:extLst>
            <c:ext xmlns:c16="http://schemas.microsoft.com/office/drawing/2014/chart" uri="{C3380CC4-5D6E-409C-BE32-E72D297353CC}">
              <c16:uniqueId val="{00000001-C3CE-4F12-8A0B-CB2D0CE7117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6</xdr:col>
      <xdr:colOff>533400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F6F90-8A4E-4158-B7CD-27660A5B7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2</xdr:row>
      <xdr:rowOff>23812</xdr:rowOff>
    </xdr:from>
    <xdr:to>
      <xdr:col>12</xdr:col>
      <xdr:colOff>485775</xdr:colOff>
      <xdr:row>16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7B33F0-88CB-4173-A23E-5473AF085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504825</xdr:colOff>
      <xdr:row>2</xdr:row>
      <xdr:rowOff>33337</xdr:rowOff>
    </xdr:from>
    <xdr:to>
      <xdr:col>17</xdr:col>
      <xdr:colOff>361950</xdr:colOff>
      <xdr:row>16</xdr:row>
      <xdr:rowOff>109537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B74486C-3A34-4AD1-8159-D1B4E332E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109537</xdr:rowOff>
    </xdr:from>
    <xdr:to>
      <xdr:col>6</xdr:col>
      <xdr:colOff>542925</xdr:colOff>
      <xdr:row>30</xdr:row>
      <xdr:rowOff>185737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1F8E06-A1C8-4224-92D8-C612FF8F9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552450</xdr:colOff>
      <xdr:row>16</xdr:row>
      <xdr:rowOff>109537</xdr:rowOff>
    </xdr:from>
    <xdr:to>
      <xdr:col>12</xdr:col>
      <xdr:colOff>485775</xdr:colOff>
      <xdr:row>30</xdr:row>
      <xdr:rowOff>185737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0EC807A-8EC0-48C6-9540-E17F527DB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9525</xdr:rowOff>
    </xdr:from>
    <xdr:to>
      <xdr:col>7</xdr:col>
      <xdr:colOff>304800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F42C8-8746-4803-8BE8-DE7556981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2</xdr:row>
      <xdr:rowOff>9525</xdr:rowOff>
    </xdr:from>
    <xdr:to>
      <xdr:col>12</xdr:col>
      <xdr:colOff>523875</xdr:colOff>
      <xdr:row>16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CB173A-8810-472F-8DCE-BBA274186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100012</xdr:rowOff>
    </xdr:from>
    <xdr:to>
      <xdr:col>7</xdr:col>
      <xdr:colOff>304800</xdr:colOff>
      <xdr:row>30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46FE03-BB32-4A3D-83EE-9FA5E86AD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314325</xdr:colOff>
      <xdr:row>16</xdr:row>
      <xdr:rowOff>100012</xdr:rowOff>
    </xdr:from>
    <xdr:to>
      <xdr:col>12</xdr:col>
      <xdr:colOff>523875</xdr:colOff>
      <xdr:row>30</xdr:row>
      <xdr:rowOff>176212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2A9C06-E274-4C34-8FB6-8D6B1F72E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TIN KASHYAP" refreshedDate="46182.846927893515" createdVersion="7" refreshedVersion="7" minRefreshableVersion="3" recordCount="200" xr:uid="{0178D577-ADAB-476A-A131-484D3E0E8F44}">
  <cacheSource type="worksheet">
    <worksheetSource name="table2"/>
  </cacheSource>
  <cacheFields count="17">
    <cacheField name="ID" numFmtId="0">
      <sharedItems containsSemiMixedTypes="0" containsString="0" containsNumber="1" containsInteger="1" minValue="101" maxValue="300"/>
    </cacheField>
    <cacheField name="Prefix" numFmtId="0">
      <sharedItems/>
    </cacheField>
    <cacheField name="First Name" numFmtId="0">
      <sharedItems/>
    </cacheField>
    <cacheField name="Last Name" numFmtId="0">
      <sharedItems/>
    </cacheField>
    <cacheField name="Birthdate" numFmtId="14">
      <sharedItems containsSemiMixedTypes="0" containsNonDate="0" containsDate="1" containsString="0" minDate="1978-02-11T00:00:00" maxDate="1995-07-02T00:00:00"/>
    </cacheField>
    <cacheField name="Gender" numFmtId="0">
      <sharedItems count="2">
        <s v="Male"/>
        <s v="Female"/>
      </sharedItems>
    </cacheField>
    <cacheField name="Email Address" numFmtId="0">
      <sharedItems/>
    </cacheField>
    <cacheField name="Annual Income" numFmtId="0">
      <sharedItems containsSemiMixedTypes="0" containsString="0" containsNumber="1" containsInteger="1" minValue="58000" maxValue="97000"/>
    </cacheField>
    <cacheField name="Total Children" numFmtId="0">
      <sharedItems containsSemiMixedTypes="0" containsString="0" containsNumber="1" containsInteger="1" minValue="0" maxValue="4"/>
    </cacheField>
    <cacheField name="Education" numFmtId="0">
      <sharedItems count="3">
        <s v="Bachelor"/>
        <s v="Master"/>
        <s v="PhD"/>
      </sharedItems>
    </cacheField>
    <cacheField name="Homeowner" numFmtId="0">
      <sharedItems count="2">
        <s v="Yes"/>
        <s v="No"/>
      </sharedItems>
    </cacheField>
    <cacheField name="Martial Status" numFmtId="0">
      <sharedItems count="2">
        <s v="Married"/>
        <s v="Single"/>
      </sharedItems>
    </cacheField>
    <cacheField name="Full Name" numFmtId="0">
      <sharedItems/>
    </cacheField>
    <cacheField name="Age" numFmtId="0">
      <sharedItems containsSemiMixedTypes="0" containsString="0" containsNumber="1" containsInteger="1" minValue="30" maxValue="48"/>
    </cacheField>
    <cacheField name="Salary Category" numFmtId="0">
      <sharedItems count="3">
        <s v="Medium"/>
        <s v="High"/>
        <s v="Low"/>
      </sharedItems>
    </cacheField>
    <cacheField name="Parents Status" numFmtId="0">
      <sharedItems/>
    </cacheField>
    <cacheField name="Education Rank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1"/>
    <s v="Mr"/>
    <s v="Arjun"/>
    <s v="Sharma"/>
    <d v="1984-01-15T00:00:00"/>
    <x v="0"/>
    <s v="arjun.sharma101@email.com"/>
    <n v="82000"/>
    <n v="2"/>
    <x v="0"/>
    <x v="0"/>
    <x v="0"/>
    <s v="Mr Arjun Sharma"/>
    <n v="42"/>
    <x v="0"/>
    <s v="Parents"/>
    <n v="1"/>
  </r>
  <r>
    <n v="102"/>
    <s v="Ms"/>
    <s v="Priya"/>
    <s v="Patel"/>
    <d v="1992-03-21T00:00:00"/>
    <x v="1"/>
    <s v="priya.patel102@email.com"/>
    <n v="61000"/>
    <n v="0"/>
    <x v="1"/>
    <x v="1"/>
    <x v="1"/>
    <s v="Ms Priya Patel"/>
    <n v="34"/>
    <x v="0"/>
    <s v="Non Parents"/>
    <n v="2"/>
  </r>
  <r>
    <n v="103"/>
    <s v="Mr"/>
    <s v="Rohan"/>
    <s v="Singh"/>
    <d v="1981-07-08T00:00:00"/>
    <x v="0"/>
    <s v="rohan.singh103@email.com"/>
    <n v="89000"/>
    <n v="3"/>
    <x v="0"/>
    <x v="0"/>
    <x v="0"/>
    <s v="Mr Rohan Singh"/>
    <n v="44"/>
    <x v="1"/>
    <s v="Parents"/>
    <n v="1"/>
  </r>
  <r>
    <n v="104"/>
    <s v="Mrs"/>
    <s v="Neha"/>
    <s v="Gupta"/>
    <d v="1988-05-12T00:00:00"/>
    <x v="1"/>
    <s v="neha.gupta104@email.com"/>
    <n v="74000"/>
    <n v="1"/>
    <x v="1"/>
    <x v="0"/>
    <x v="1"/>
    <s v="Mrs Neha Gupta"/>
    <n v="38"/>
    <x v="0"/>
    <s v="Non Parents"/>
    <n v="2"/>
  </r>
  <r>
    <n v="105"/>
    <s v="Mr"/>
    <s v="Vikram"/>
    <s v="Mehta"/>
    <d v="1979-11-23T00:00:00"/>
    <x v="0"/>
    <s v="vikram.mehta105@email.com"/>
    <n v="96000"/>
    <n v="2"/>
    <x v="2"/>
    <x v="0"/>
    <x v="0"/>
    <s v="Mr Vikram Mehta"/>
    <n v="46"/>
    <x v="1"/>
    <s v="Parents"/>
    <n v="3"/>
  </r>
  <r>
    <n v="106"/>
    <s v="Ms"/>
    <s v="Ananya"/>
    <s v="Verma"/>
    <d v="1994-09-14T00:00:00"/>
    <x v="1"/>
    <s v="ananya.verma106@email.com"/>
    <n v="58000"/>
    <n v="0"/>
    <x v="0"/>
    <x v="1"/>
    <x v="1"/>
    <s v="Ms Ananya Verma"/>
    <n v="31"/>
    <x v="2"/>
    <s v="Non Parents"/>
    <n v="1"/>
  </r>
  <r>
    <n v="107"/>
    <s v="Mr"/>
    <s v="Karan"/>
    <s v="Malhotra"/>
    <d v="1983-04-18T00:00:00"/>
    <x v="0"/>
    <s v="karan.malhotra107@email.com"/>
    <n v="84000"/>
    <n v="2"/>
    <x v="1"/>
    <x v="0"/>
    <x v="0"/>
    <s v="Mr Karan Malhotra"/>
    <n v="43"/>
    <x v="0"/>
    <s v="Parents"/>
    <n v="2"/>
  </r>
  <r>
    <n v="108"/>
    <s v="Mrs"/>
    <s v="Isha"/>
    <s v="Kapoor"/>
    <d v="1987-08-09T00:00:00"/>
    <x v="1"/>
    <s v="isha.kapoor108@email.com"/>
    <n v="72000"/>
    <n v="1"/>
    <x v="0"/>
    <x v="0"/>
    <x v="1"/>
    <s v="Mrs Isha Kapoor"/>
    <n v="38"/>
    <x v="0"/>
    <s v="Non Parents"/>
    <n v="1"/>
  </r>
  <r>
    <n v="109"/>
    <s v="Mr"/>
    <s v="Rajesh"/>
    <s v="Agarwal"/>
    <d v="1978-02-11T00:00:00"/>
    <x v="0"/>
    <s v="rajesh.agarwal109@email.com"/>
    <n v="91000"/>
    <n v="3"/>
    <x v="1"/>
    <x v="0"/>
    <x v="0"/>
    <s v="Mr Rajesh Agarwal"/>
    <n v="48"/>
    <x v="1"/>
    <s v="Parents"/>
    <n v="2"/>
  </r>
  <r>
    <n v="110"/>
    <s v="Ms"/>
    <s v="Sneha"/>
    <s v="Jain"/>
    <d v="1991-06-25T00:00:00"/>
    <x v="1"/>
    <s v="sneha.jain110@email.com"/>
    <n v="63000"/>
    <n v="0"/>
    <x v="0"/>
    <x v="1"/>
    <x v="1"/>
    <s v="Ms Sneha Jain"/>
    <n v="34"/>
    <x v="0"/>
    <s v="Non Parents"/>
    <n v="1"/>
  </r>
  <r>
    <n v="111"/>
    <s v="Mr"/>
    <s v="Amit"/>
    <s v="Bansal"/>
    <d v="1985-10-03T00:00:00"/>
    <x v="0"/>
    <s v="amit.bansal111@email.com"/>
    <n v="81000"/>
    <n v="2"/>
    <x v="0"/>
    <x v="0"/>
    <x v="0"/>
    <s v="Mr Amit Bansal"/>
    <n v="40"/>
    <x v="0"/>
    <s v="Parents"/>
    <n v="1"/>
  </r>
  <r>
    <n v="112"/>
    <s v="Mrs"/>
    <s v="Pooja"/>
    <s v="Saxena"/>
    <d v="1989-12-17T00:00:00"/>
    <x v="1"/>
    <s v="pooja.saxena112@email.com"/>
    <n v="70000"/>
    <n v="1"/>
    <x v="1"/>
    <x v="0"/>
    <x v="1"/>
    <s v="Mrs Pooja Saxena"/>
    <n v="36"/>
    <x v="0"/>
    <s v="Non Parents"/>
    <n v="2"/>
  </r>
  <r>
    <n v="113"/>
    <s v="Mr"/>
    <s v="Manish"/>
    <s v="Arora"/>
    <d v="1982-03-30T00:00:00"/>
    <x v="0"/>
    <s v="manish.arora113@email.com"/>
    <n v="87000"/>
    <n v="2"/>
    <x v="1"/>
    <x v="0"/>
    <x v="0"/>
    <s v="Mr Manish Arora"/>
    <n v="44"/>
    <x v="1"/>
    <s v="Parents"/>
    <n v="2"/>
  </r>
  <r>
    <n v="114"/>
    <s v="Ms"/>
    <s v="Ritu"/>
    <s v="Tiwari"/>
    <d v="1993-07-19T00:00:00"/>
    <x v="1"/>
    <s v="ritu.tiwari114@email.com"/>
    <n v="62000"/>
    <n v="0"/>
    <x v="0"/>
    <x v="1"/>
    <x v="1"/>
    <s v="Ms Ritu Tiwari"/>
    <n v="32"/>
    <x v="0"/>
    <s v="Non Parents"/>
    <n v="1"/>
  </r>
  <r>
    <n v="115"/>
    <s v="Mr"/>
    <s v="Sandeep"/>
    <s v="Yadav"/>
    <d v="1980-01-27T00:00:00"/>
    <x v="0"/>
    <s v="sandeep.yadav115@email.com"/>
    <n v="93000"/>
    <n v="3"/>
    <x v="2"/>
    <x v="0"/>
    <x v="0"/>
    <s v="Mr Sandeep Yadav"/>
    <n v="46"/>
    <x v="1"/>
    <s v="Parents"/>
    <n v="3"/>
  </r>
  <r>
    <n v="116"/>
    <s v="Mrs"/>
    <s v="Divya"/>
    <s v="Mishra"/>
    <d v="1988-04-07T00:00:00"/>
    <x v="1"/>
    <s v="divya.mishra116@email.com"/>
    <n v="75000"/>
    <n v="2"/>
    <x v="1"/>
    <x v="0"/>
    <x v="0"/>
    <s v="Mrs Divya Mishra"/>
    <n v="38"/>
    <x v="0"/>
    <s v="Parents"/>
    <n v="2"/>
  </r>
  <r>
    <n v="117"/>
    <s v="Mr"/>
    <s v="Nitin"/>
    <s v="Chopra"/>
    <d v="1984-09-13T00:00:00"/>
    <x v="0"/>
    <s v="nitin.chopra117@email.com"/>
    <n v="85000"/>
    <n v="2"/>
    <x v="0"/>
    <x v="0"/>
    <x v="0"/>
    <s v="Mr Nitin Chopra"/>
    <n v="41"/>
    <x v="1"/>
    <s v="Parents"/>
    <n v="1"/>
  </r>
  <r>
    <n v="118"/>
    <s v="Ms"/>
    <s v="Kavya"/>
    <s v="Sethi"/>
    <d v="1995-02-22T00:00:00"/>
    <x v="1"/>
    <s v="kavya.sethi118@email.com"/>
    <n v="59000"/>
    <n v="0"/>
    <x v="0"/>
    <x v="1"/>
    <x v="1"/>
    <s v="Ms Kavya Sethi"/>
    <n v="31"/>
    <x v="2"/>
    <s v="Non Parents"/>
    <n v="1"/>
  </r>
  <r>
    <n v="119"/>
    <s v="Mr"/>
    <s v="Rahul"/>
    <s v="Khanna"/>
    <d v="1981-11-06T00:00:00"/>
    <x v="0"/>
    <s v="rahul.khanna119@email.com"/>
    <n v="90000"/>
    <n v="3"/>
    <x v="1"/>
    <x v="0"/>
    <x v="0"/>
    <s v="Mr Rahul Khanna"/>
    <n v="44"/>
    <x v="1"/>
    <s v="Parents"/>
    <n v="2"/>
  </r>
  <r>
    <n v="120"/>
    <s v="Mrs"/>
    <s v="Megha"/>
    <s v="Rana"/>
    <d v="1987-06-15T00:00:00"/>
    <x v="1"/>
    <s v="megha.rana120@email.com"/>
    <n v="73000"/>
    <n v="1"/>
    <x v="0"/>
    <x v="0"/>
    <x v="1"/>
    <s v="Mrs Megha Rana"/>
    <n v="38"/>
    <x v="0"/>
    <s v="Non Parents"/>
    <n v="1"/>
  </r>
  <r>
    <n v="121"/>
    <s v="Mr"/>
    <s v="Deepak"/>
    <s v="Singhal"/>
    <d v="1983-05-11T00:00:00"/>
    <x v="0"/>
    <s v="deepak.singhal121@email.com"/>
    <n v="86000"/>
    <n v="2"/>
    <x v="1"/>
    <x v="0"/>
    <x v="0"/>
    <s v="Mr Deepak Singhal"/>
    <n v="43"/>
    <x v="1"/>
    <s v="Parents"/>
    <n v="2"/>
  </r>
  <r>
    <n v="122"/>
    <s v="Ms"/>
    <s v="Nidhi"/>
    <s v="Garg"/>
    <d v="1992-08-28T00:00:00"/>
    <x v="1"/>
    <s v="nidhi.garg122@email.com"/>
    <n v="61000"/>
    <n v="0"/>
    <x v="0"/>
    <x v="1"/>
    <x v="1"/>
    <s v="Ms Nidhi Garg"/>
    <n v="33"/>
    <x v="0"/>
    <s v="Non Parents"/>
    <n v="1"/>
  </r>
  <r>
    <n v="123"/>
    <s v="Mr"/>
    <s v="Hemant"/>
    <s v="Joshi"/>
    <d v="1979-12-02T00:00:00"/>
    <x v="0"/>
    <s v="hemant.joshi123@email.com"/>
    <n v="95000"/>
    <n v="4"/>
    <x v="2"/>
    <x v="0"/>
    <x v="0"/>
    <s v="Mr Hemant Joshi"/>
    <n v="46"/>
    <x v="1"/>
    <s v="Parents"/>
    <n v="3"/>
  </r>
  <r>
    <n v="124"/>
    <s v="Mrs"/>
    <s v="Tanya"/>
    <s v="Bhatt"/>
    <d v="1988-10-21T00:00:00"/>
    <x v="1"/>
    <s v="tanya.bhatt124@email.com"/>
    <n v="71000"/>
    <n v="1"/>
    <x v="1"/>
    <x v="0"/>
    <x v="1"/>
    <s v="Mrs Tanya Bhatt"/>
    <n v="37"/>
    <x v="0"/>
    <s v="Non Parents"/>
    <n v="2"/>
  </r>
  <r>
    <n v="125"/>
    <s v="Mr"/>
    <s v="Abhishek"/>
    <s v="Srivastava"/>
    <d v="1984-03-05T00:00:00"/>
    <x v="0"/>
    <s v="abhishek.srivastava125@email.com"/>
    <n v="83000"/>
    <n v="2"/>
    <x v="0"/>
    <x v="0"/>
    <x v="0"/>
    <s v="Mr Abhishek Srivastava"/>
    <n v="42"/>
    <x v="0"/>
    <s v="Parents"/>
    <n v="1"/>
  </r>
  <r>
    <n v="126"/>
    <s v="Ms"/>
    <s v="Shreya"/>
    <s v="Nair"/>
    <d v="1994-01-18T00:00:00"/>
    <x v="1"/>
    <s v="shreya.nair126@email.com"/>
    <n v="60000"/>
    <n v="0"/>
    <x v="0"/>
    <x v="1"/>
    <x v="1"/>
    <s v="Ms Shreya Nair"/>
    <n v="32"/>
    <x v="0"/>
    <s v="Non Parents"/>
    <n v="1"/>
  </r>
  <r>
    <n v="127"/>
    <s v="Mr"/>
    <s v="Gaurav"/>
    <s v="Menon"/>
    <d v="1982-07-14T00:00:00"/>
    <x v="0"/>
    <s v="gaurav.menon127@email.com"/>
    <n v="88000"/>
    <n v="3"/>
    <x v="1"/>
    <x v="0"/>
    <x v="0"/>
    <s v="Mr Gaurav Menon"/>
    <n v="43"/>
    <x v="1"/>
    <s v="Parents"/>
    <n v="2"/>
  </r>
  <r>
    <n v="128"/>
    <s v="Mrs"/>
    <s v="Payal"/>
    <s v="Reddy"/>
    <d v="1989-05-29T00:00:00"/>
    <x v="1"/>
    <s v="payal.reddy128@email.com"/>
    <n v="74000"/>
    <n v="2"/>
    <x v="1"/>
    <x v="0"/>
    <x v="0"/>
    <s v="Mrs Payal Reddy"/>
    <n v="37"/>
    <x v="0"/>
    <s v="Parents"/>
    <n v="2"/>
  </r>
  <r>
    <n v="129"/>
    <s v="Mr"/>
    <s v="Harsh"/>
    <s v="Vora"/>
    <d v="1980-09-08T00:00:00"/>
    <x v="0"/>
    <s v="harsh.vora129@email.com"/>
    <n v="92000"/>
    <n v="2"/>
    <x v="2"/>
    <x v="0"/>
    <x v="0"/>
    <s v="Mr Harsh Vora"/>
    <n v="45"/>
    <x v="1"/>
    <s v="Parents"/>
    <n v="3"/>
  </r>
  <r>
    <n v="130"/>
    <s v="Ms"/>
    <s v="Aarti"/>
    <s v="Desai"/>
    <d v="1993-04-27T00:00:00"/>
    <x v="1"/>
    <s v="aarti.desai130@email.com"/>
    <n v="62000"/>
    <n v="0"/>
    <x v="0"/>
    <x v="1"/>
    <x v="1"/>
    <s v="Ms Aarti Desai"/>
    <n v="33"/>
    <x v="0"/>
    <s v="Non Parents"/>
    <n v="1"/>
  </r>
  <r>
    <n v="131"/>
    <s v="Mr"/>
    <s v="Sachin"/>
    <s v="Pandey"/>
    <d v="1985-12-11T00:00:00"/>
    <x v="0"/>
    <s v="sachin.pandey131@email.com"/>
    <n v="81000"/>
    <n v="2"/>
    <x v="0"/>
    <x v="0"/>
    <x v="0"/>
    <s v="Mr Sachin Pandey"/>
    <n v="40"/>
    <x v="0"/>
    <s v="Parents"/>
    <n v="1"/>
  </r>
  <r>
    <n v="132"/>
    <s v="Mrs"/>
    <s v="Komal"/>
    <s v="Shukla"/>
    <d v="1987-02-14T00:00:00"/>
    <x v="1"/>
    <s v="komal.shukla132@email.com"/>
    <n v="72000"/>
    <n v="1"/>
    <x v="1"/>
    <x v="0"/>
    <x v="1"/>
    <s v="Mrs Komal Shukla"/>
    <n v="39"/>
    <x v="0"/>
    <s v="Non Parents"/>
    <n v="2"/>
  </r>
  <r>
    <n v="133"/>
    <s v="Mr"/>
    <s v="Ajay"/>
    <s v="Chaudhary"/>
    <d v="1981-06-20T00:00:00"/>
    <x v="0"/>
    <s v="ajay.chaudhary133@email.com"/>
    <n v="89000"/>
    <n v="3"/>
    <x v="1"/>
    <x v="0"/>
    <x v="0"/>
    <s v="Mr Ajay Chaudhary"/>
    <n v="44"/>
    <x v="1"/>
    <s v="Parents"/>
    <n v="2"/>
  </r>
  <r>
    <n v="134"/>
    <s v="Ms"/>
    <s v="Rashmi"/>
    <s v="Dwivedi"/>
    <d v="1992-11-09T00:00:00"/>
    <x v="1"/>
    <s v="rashmi.dwivedi134@email.com"/>
    <n v="63000"/>
    <n v="0"/>
    <x v="0"/>
    <x v="1"/>
    <x v="1"/>
    <s v="Ms Rashmi Dwivedi"/>
    <n v="33"/>
    <x v="0"/>
    <s v="Non Parents"/>
    <n v="1"/>
  </r>
  <r>
    <n v="135"/>
    <s v="Mr"/>
    <s v="Mohit"/>
    <s v="Tripathi"/>
    <d v="1983-08-31T00:00:00"/>
    <x v="0"/>
    <s v="mohit.tripathi135@email.com"/>
    <n v="85000"/>
    <n v="2"/>
    <x v="0"/>
    <x v="0"/>
    <x v="0"/>
    <s v="Mr Mohit Tripathi"/>
    <n v="42"/>
    <x v="1"/>
    <s v="Parents"/>
    <n v="1"/>
  </r>
  <r>
    <n v="136"/>
    <s v="Mrs"/>
    <s v="Sonal"/>
    <s v="Kaushik"/>
    <d v="1988-01-23T00:00:00"/>
    <x v="1"/>
    <s v="sonal.kaushik136@email.com"/>
    <n v="75000"/>
    <n v="2"/>
    <x v="1"/>
    <x v="0"/>
    <x v="0"/>
    <s v="Mrs Sonal Kaushik"/>
    <n v="38"/>
    <x v="0"/>
    <s v="Parents"/>
    <n v="2"/>
  </r>
  <r>
    <n v="137"/>
    <s v="Mr"/>
    <s v="Anil"/>
    <s v="Roy"/>
    <d v="1978-04-16T00:00:00"/>
    <x v="0"/>
    <s v="anil.roy137@email.com"/>
    <n v="97000"/>
    <n v="4"/>
    <x v="2"/>
    <x v="0"/>
    <x v="0"/>
    <s v="Mr Anil Roy"/>
    <n v="48"/>
    <x v="1"/>
    <s v="Parents"/>
    <n v="3"/>
  </r>
  <r>
    <n v="138"/>
    <s v="Ms"/>
    <s v="Juhi"/>
    <s v="Dutta"/>
    <d v="1995-07-01T00:00:00"/>
    <x v="1"/>
    <s v="juhi.dutta138@email.com"/>
    <n v="58000"/>
    <n v="0"/>
    <x v="0"/>
    <x v="1"/>
    <x v="1"/>
    <s v="Ms Juhi Dutta"/>
    <n v="30"/>
    <x v="2"/>
    <s v="Non Parents"/>
    <n v="1"/>
  </r>
  <r>
    <n v="139"/>
    <s v="Mr"/>
    <s v="Varun"/>
    <s v="Bose"/>
    <d v="1984-10-19T00:00:00"/>
    <x v="0"/>
    <s v="varun.bose139@email.com"/>
    <n v="84000"/>
    <n v="2"/>
    <x v="1"/>
    <x v="0"/>
    <x v="0"/>
    <s v="Mr Varun Bose"/>
    <n v="41"/>
    <x v="0"/>
    <s v="Parents"/>
    <n v="2"/>
  </r>
  <r>
    <n v="140"/>
    <s v="Mrs"/>
    <s v="Simran"/>
    <s v="Ghosh"/>
    <d v="1989-09-05T00:00:00"/>
    <x v="1"/>
    <s v="simran.ghosh140@email.com"/>
    <n v="73000"/>
    <n v="1"/>
    <x v="0"/>
    <x v="0"/>
    <x v="1"/>
    <s v="Mrs Simran Ghosh"/>
    <n v="36"/>
    <x v="0"/>
    <s v="Non Parents"/>
    <n v="1"/>
  </r>
  <r>
    <n v="141"/>
    <s v="Mr"/>
    <s v="Akash"/>
    <s v="Paul"/>
    <d v="1982-03-12T00:00:00"/>
    <x v="0"/>
    <s v="akash.paul141@email.com"/>
    <n v="88000"/>
    <n v="3"/>
    <x v="1"/>
    <x v="0"/>
    <x v="0"/>
    <s v="Mr Akash Paul"/>
    <n v="44"/>
    <x v="1"/>
    <s v="Parents"/>
    <n v="2"/>
  </r>
  <r>
    <n v="142"/>
    <s v="Ms"/>
    <s v="Riya"/>
    <s v="Das"/>
    <d v="1993-06-17T00:00:00"/>
    <x v="1"/>
    <s v="riya.das142@email.com"/>
    <n v="61000"/>
    <n v="0"/>
    <x v="0"/>
    <x v="1"/>
    <x v="1"/>
    <s v="Ms Riya Das"/>
    <n v="32"/>
    <x v="0"/>
    <s v="Non Parents"/>
    <n v="1"/>
  </r>
  <r>
    <n v="143"/>
    <s v="Mr"/>
    <s v="Prakash"/>
    <s v="Sen"/>
    <d v="1981-01-29T00:00:00"/>
    <x v="0"/>
    <s v="prakash.sen143@email.com"/>
    <n v="90000"/>
    <n v="2"/>
    <x v="2"/>
    <x v="0"/>
    <x v="0"/>
    <s v="Mr Prakash Sen"/>
    <n v="45"/>
    <x v="1"/>
    <s v="Parents"/>
    <n v="3"/>
  </r>
  <r>
    <n v="144"/>
    <s v="Mrs"/>
    <s v="Monika"/>
    <s v="Chatterjee"/>
    <d v="1987-12-07T00:00:00"/>
    <x v="1"/>
    <s v="monika.chatterjee144@email.com"/>
    <n v="71000"/>
    <n v="1"/>
    <x v="1"/>
    <x v="0"/>
    <x v="1"/>
    <s v="Mrs Monika Chatterjee"/>
    <n v="38"/>
    <x v="0"/>
    <s v="Non Parents"/>
    <n v="2"/>
  </r>
  <r>
    <n v="145"/>
    <s v="Mr"/>
    <s v="Naveen"/>
    <s v="Pillai"/>
    <d v="1985-05-24T00:00:00"/>
    <x v="0"/>
    <s v="naveen.pillai145@email.com"/>
    <n v="82000"/>
    <n v="2"/>
    <x v="0"/>
    <x v="0"/>
    <x v="0"/>
    <s v="Mr Naveen Pillai"/>
    <n v="41"/>
    <x v="0"/>
    <s v="Parents"/>
    <n v="1"/>
  </r>
  <r>
    <n v="146"/>
    <s v="Ms"/>
    <s v="Reema"/>
    <s v="Kurian"/>
    <d v="1994-08-13T00:00:00"/>
    <x v="1"/>
    <s v="reema.kurian146@email.com"/>
    <n v="60000"/>
    <n v="0"/>
    <x v="0"/>
    <x v="1"/>
    <x v="1"/>
    <s v="Ms Reema Kurian"/>
    <n v="31"/>
    <x v="0"/>
    <s v="Non Parents"/>
    <n v="1"/>
  </r>
  <r>
    <n v="147"/>
    <s v="Mr"/>
    <s v="Suraj"/>
    <s v="Thomas"/>
    <d v="1980-11-15T00:00:00"/>
    <x v="0"/>
    <s v="suraj.thomas147@email.com"/>
    <n v="94000"/>
    <n v="3"/>
    <x v="1"/>
    <x v="0"/>
    <x v="0"/>
    <s v="Mr Suraj Thomas"/>
    <n v="45"/>
    <x v="1"/>
    <s v="Parents"/>
    <n v="2"/>
  </r>
  <r>
    <n v="148"/>
    <s v="Mrs"/>
    <s v="Anita"/>
    <s v="George"/>
    <d v="1988-02-28T00:00:00"/>
    <x v="1"/>
    <s v="anita.george148@email.com"/>
    <n v="76000"/>
    <n v="2"/>
    <x v="1"/>
    <x v="0"/>
    <x v="0"/>
    <s v="Mrs Anita George"/>
    <n v="38"/>
    <x v="0"/>
    <s v="Parents"/>
    <n v="2"/>
  </r>
  <r>
    <n v="149"/>
    <s v="Mr"/>
    <s v="Rakesh"/>
    <s v="Mathew"/>
    <d v="1983-07-09T00:00:00"/>
    <x v="0"/>
    <s v="rakesh.mathew149@email.com"/>
    <n v="86000"/>
    <n v="2"/>
    <x v="0"/>
    <x v="0"/>
    <x v="0"/>
    <s v="Mr Rakesh Mathew"/>
    <n v="42"/>
    <x v="1"/>
    <s v="Parents"/>
    <n v="1"/>
  </r>
  <r>
    <n v="150"/>
    <s v="Ms"/>
    <s v="Pallavi"/>
    <s v="Joseph"/>
    <d v="1992-10-26T00:00:00"/>
    <x v="1"/>
    <s v="pallavi.joseph150@email.com"/>
    <n v="62000"/>
    <n v="0"/>
    <x v="0"/>
    <x v="1"/>
    <x v="1"/>
    <s v="Ms Pallavi Joseph"/>
    <n v="33"/>
    <x v="0"/>
    <s v="Non Parents"/>
    <n v="1"/>
  </r>
  <r>
    <n v="151"/>
    <s v="Mr"/>
    <s v="Dinesh"/>
    <s v="Fernandes"/>
    <d v="1981-04-01T00:00:00"/>
    <x v="0"/>
    <s v="dinesh.fernandes151@email.com"/>
    <n v="91000"/>
    <n v="3"/>
    <x v="1"/>
    <x v="0"/>
    <x v="0"/>
    <s v="Mr Dinesh Fernandes"/>
    <n v="45"/>
    <x v="1"/>
    <s v="Parents"/>
    <n v="2"/>
  </r>
  <r>
    <n v="152"/>
    <s v="Mrs"/>
    <s v="Kirti"/>
    <s v="Pinto"/>
    <d v="1989-06-11T00:00:00"/>
    <x v="1"/>
    <s v="kirti.pinto152@email.com"/>
    <n v="74000"/>
    <n v="1"/>
    <x v="0"/>
    <x v="0"/>
    <x v="1"/>
    <s v="Mrs Kirti Pinto"/>
    <n v="36"/>
    <x v="0"/>
    <s v="Non Parents"/>
    <n v="1"/>
  </r>
  <r>
    <n v="153"/>
    <s v="Mr"/>
    <s v="Umesh"/>
    <s v="Naik"/>
    <d v="1984-09-29T00:00:00"/>
    <x v="0"/>
    <s v="umesh.naik153@email.com"/>
    <n v="83000"/>
    <n v="2"/>
    <x v="0"/>
    <x v="0"/>
    <x v="0"/>
    <s v="Mr Umesh Naik"/>
    <n v="41"/>
    <x v="0"/>
    <s v="Parents"/>
    <n v="1"/>
  </r>
  <r>
    <n v="154"/>
    <s v="Ms"/>
    <s v="Preeti"/>
    <s v="Kulkarni"/>
    <d v="1993-03-22T00:00:00"/>
    <x v="1"/>
    <s v="preeti.kulkarni154@email.com"/>
    <n v="61000"/>
    <n v="0"/>
    <x v="1"/>
    <x v="1"/>
    <x v="1"/>
    <s v="Ms Preeti Kulkarni"/>
    <n v="33"/>
    <x v="0"/>
    <s v="Non Parents"/>
    <n v="2"/>
  </r>
  <r>
    <n v="155"/>
    <s v="Mr"/>
    <s v="Sunil"/>
    <s v="Patwardhan"/>
    <d v="1979-08-04T00:00:00"/>
    <x v="0"/>
    <s v="sunil.patwardhan155@email.com"/>
    <n v="95000"/>
    <n v="4"/>
    <x v="2"/>
    <x v="0"/>
    <x v="0"/>
    <s v="Mr Sunil Patwardhan"/>
    <n v="46"/>
    <x v="1"/>
    <s v="Parents"/>
    <n v="3"/>
  </r>
  <r>
    <n v="156"/>
    <s v="Mrs"/>
    <s v="Madhuri"/>
    <s v="Joshi"/>
    <d v="1987-11-13T00:00:00"/>
    <x v="1"/>
    <s v="madhuri.joshi156@email.com"/>
    <n v="72000"/>
    <n v="2"/>
    <x v="1"/>
    <x v="0"/>
    <x v="0"/>
    <s v="Mrs Madhuri Joshi"/>
    <n v="38"/>
    <x v="0"/>
    <s v="Parents"/>
    <n v="2"/>
  </r>
  <r>
    <n v="157"/>
    <s v="Mr"/>
    <s v="Ashish"/>
    <s v="Deshpande"/>
    <d v="1982-05-20T00:00:00"/>
    <x v="0"/>
    <s v="ashish.deshpande157@email.com"/>
    <n v="87000"/>
    <n v="2"/>
    <x v="0"/>
    <x v="0"/>
    <x v="0"/>
    <s v="Mr Ashish Deshpande"/>
    <n v="44"/>
    <x v="1"/>
    <s v="Parents"/>
    <n v="1"/>
  </r>
  <r>
    <n v="158"/>
    <s v="Ms"/>
    <s v="Namrata"/>
    <s v="Apte"/>
    <d v="1994-01-09T00:00:00"/>
    <x v="1"/>
    <s v="namrata.apte158@email.com"/>
    <n v="59000"/>
    <n v="0"/>
    <x v="0"/>
    <x v="1"/>
    <x v="1"/>
    <s v="Ms Namrata Apte"/>
    <n v="32"/>
    <x v="2"/>
    <s v="Non Parents"/>
    <n v="1"/>
  </r>
  <r>
    <n v="159"/>
    <s v="Mr"/>
    <s v="Rajiv"/>
    <s v="Pathak"/>
    <d v="1980-07-27T00:00:00"/>
    <x v="0"/>
    <s v="rajiv.pathak159@email.com"/>
    <n v="92000"/>
    <n v="3"/>
    <x v="1"/>
    <x v="0"/>
    <x v="0"/>
    <s v="Mr Rajiv Pathak"/>
    <n v="45"/>
    <x v="1"/>
    <s v="Parents"/>
    <n v="2"/>
  </r>
  <r>
    <n v="160"/>
    <s v="Mrs"/>
    <s v="Swati"/>
    <s v="Nigam"/>
    <d v="1988-10-18T00:00:00"/>
    <x v="1"/>
    <s v="swati.nigam160@email.com"/>
    <n v="73000"/>
    <n v="1"/>
    <x v="0"/>
    <x v="0"/>
    <x v="1"/>
    <s v="Mrs Swati Nigam"/>
    <n v="37"/>
    <x v="0"/>
    <s v="Non Parents"/>
    <n v="1"/>
  </r>
  <r>
    <n v="161"/>
    <s v="Mr"/>
    <s v="Vivek"/>
    <s v="Soni"/>
    <d v="1983-02-07T00:00:00"/>
    <x v="0"/>
    <s v="vivek.soni161@email.com"/>
    <n v="85000"/>
    <n v="2"/>
    <x v="1"/>
    <x v="0"/>
    <x v="0"/>
    <s v="Mr Vivek Soni"/>
    <n v="43"/>
    <x v="1"/>
    <s v="Parents"/>
    <n v="2"/>
  </r>
  <r>
    <n v="162"/>
    <s v="Ms"/>
    <s v="Shruti"/>
    <s v="Mathur"/>
    <d v="1992-04-24T00:00:00"/>
    <x v="1"/>
    <s v="shruti.mathur162@email.com"/>
    <n v="62000"/>
    <n v="0"/>
    <x v="0"/>
    <x v="1"/>
    <x v="1"/>
    <s v="Ms Shruti Mathur"/>
    <n v="34"/>
    <x v="0"/>
    <s v="Non Parents"/>
    <n v="1"/>
  </r>
  <r>
    <n v="163"/>
    <s v="Mr"/>
    <s v="Tarun"/>
    <s v="Oberoi"/>
    <d v="1981-09-12T00:00:00"/>
    <x v="0"/>
    <s v="tarun.oberoi163@email.com"/>
    <n v="90000"/>
    <n v="3"/>
    <x v="2"/>
    <x v="0"/>
    <x v="0"/>
    <s v="Mr Tarun Oberoi"/>
    <n v="44"/>
    <x v="1"/>
    <s v="Parents"/>
    <n v="3"/>
  </r>
  <r>
    <n v="164"/>
    <s v="Mrs"/>
    <s v="Rachna"/>
    <s v="Anand"/>
    <d v="1987-12-29T00:00:00"/>
    <x v="1"/>
    <s v="rachna.anand164@email.com"/>
    <n v="75000"/>
    <n v="2"/>
    <x v="1"/>
    <x v="0"/>
    <x v="0"/>
    <s v="Mrs Rachna Anand"/>
    <n v="38"/>
    <x v="0"/>
    <s v="Parents"/>
    <n v="2"/>
  </r>
  <r>
    <n v="165"/>
    <s v="Mr"/>
    <s v="Yash"/>
    <s v="Bedi"/>
    <d v="1984-06-03T00:00:00"/>
    <x v="0"/>
    <s v="yash.bedi165@email.com"/>
    <n v="82000"/>
    <n v="2"/>
    <x v="0"/>
    <x v="0"/>
    <x v="0"/>
    <s v="Mr Yash Bedi"/>
    <n v="42"/>
    <x v="0"/>
    <s v="Parents"/>
    <n v="1"/>
  </r>
  <r>
    <n v="166"/>
    <s v="Ms"/>
    <s v="Muskan"/>
    <s v="Puri"/>
    <d v="1995-05-14T00:00:00"/>
    <x v="1"/>
    <s v="muskan.puri166@email.com"/>
    <n v="60000"/>
    <n v="0"/>
    <x v="0"/>
    <x v="1"/>
    <x v="1"/>
    <s v="Ms Muskan Puri"/>
    <n v="31"/>
    <x v="0"/>
    <s v="Non Parents"/>
    <n v="1"/>
  </r>
  <r>
    <n v="167"/>
    <s v="Mr"/>
    <s v="Ritvik"/>
    <s v="Dhingra"/>
    <d v="1982-11-08T00:00:00"/>
    <x v="0"/>
    <s v="ritvik.dhingra167@email.com"/>
    <n v="88000"/>
    <n v="3"/>
    <x v="1"/>
    <x v="0"/>
    <x v="0"/>
    <s v="Mr Ritvik Dhingra"/>
    <n v="43"/>
    <x v="1"/>
    <s v="Parents"/>
    <n v="2"/>
  </r>
  <r>
    <n v="168"/>
    <s v="Mrs"/>
    <s v="Sakshi"/>
    <s v="Luthra"/>
    <d v="1988-03-16T00:00:00"/>
    <x v="1"/>
    <s v="sakshi.luthra168@email.com"/>
    <n v="74000"/>
    <n v="1"/>
    <x v="0"/>
    <x v="0"/>
    <x v="1"/>
    <s v="Mrs Sakshi Luthra"/>
    <n v="38"/>
    <x v="0"/>
    <s v="Non Parents"/>
    <n v="1"/>
  </r>
  <r>
    <n v="169"/>
    <s v="Mr"/>
    <s v="Parth"/>
    <s v="Sabharwal"/>
    <d v="1980-08-21T00:00:00"/>
    <x v="0"/>
    <s v="parth.sabharwal169@email.com"/>
    <n v="93000"/>
    <n v="3"/>
    <x v="1"/>
    <x v="0"/>
    <x v="0"/>
    <s v="Mr Parth Sabharwal"/>
    <n v="45"/>
    <x v="1"/>
    <s v="Parents"/>
    <n v="2"/>
  </r>
  <r>
    <n v="170"/>
    <s v="Ms"/>
    <s v="Neeti"/>
    <s v="Dogra"/>
    <d v="1993-01-30T00:00:00"/>
    <x v="1"/>
    <s v="neeti.dogra170@email.com"/>
    <n v="61000"/>
    <n v="0"/>
    <x v="0"/>
    <x v="1"/>
    <x v="1"/>
    <s v="Ms Neeti Dogra"/>
    <n v="33"/>
    <x v="0"/>
    <s v="Non Parents"/>
    <n v="1"/>
  </r>
  <r>
    <n v="171"/>
    <s v="Mr"/>
    <s v="Ronit"/>
    <s v="Arora"/>
    <d v="1985-04-11T00:00:00"/>
    <x v="0"/>
    <s v="ronit.arora171@email.com"/>
    <n v="84000"/>
    <n v="2"/>
    <x v="0"/>
    <x v="0"/>
    <x v="0"/>
    <s v="Mr Ronit Arora"/>
    <n v="41"/>
    <x v="0"/>
    <s v="Parents"/>
    <n v="1"/>
  </r>
  <r>
    <n v="172"/>
    <s v="Mrs"/>
    <s v="Trisha"/>
    <s v="Malik"/>
    <d v="1989-07-07T00:00:00"/>
    <x v="1"/>
    <s v="trisha.malik172@email.com"/>
    <n v="72000"/>
    <n v="1"/>
    <x v="1"/>
    <x v="0"/>
    <x v="1"/>
    <s v="Mrs Trisha Malik"/>
    <n v="36"/>
    <x v="0"/>
    <s v="Non Parents"/>
    <n v="2"/>
  </r>
  <r>
    <n v="173"/>
    <s v="Mr"/>
    <s v="Kunal"/>
    <s v="Chawla"/>
    <d v="1981-10-14T00:00:00"/>
    <x v="0"/>
    <s v="kunal.chawla173@email.com"/>
    <n v="91000"/>
    <n v="3"/>
    <x v="1"/>
    <x v="0"/>
    <x v="0"/>
    <s v="Mr Kunal Chawla"/>
    <n v="44"/>
    <x v="1"/>
    <s v="Parents"/>
    <n v="2"/>
  </r>
  <r>
    <n v="174"/>
    <s v="Ms"/>
    <s v="Ira"/>
    <s v="Suri"/>
    <d v="1994-02-18T00:00:00"/>
    <x v="1"/>
    <s v="ira.suri174@email.com"/>
    <n v="59000"/>
    <n v="0"/>
    <x v="0"/>
    <x v="1"/>
    <x v="1"/>
    <s v="Ms Ira Suri"/>
    <n v="32"/>
    <x v="2"/>
    <s v="Non Parents"/>
    <n v="1"/>
  </r>
  <r>
    <n v="175"/>
    <s v="Mr"/>
    <s v="Aryan"/>
    <s v="Dua"/>
    <d v="1983-06-29T00:00:00"/>
    <x v="0"/>
    <s v="aryan.dua175@email.com"/>
    <n v="86000"/>
    <n v="2"/>
    <x v="0"/>
    <x v="0"/>
    <x v="0"/>
    <s v="Mr Aryan Dua"/>
    <n v="42"/>
    <x v="1"/>
    <s v="Parents"/>
    <n v="1"/>
  </r>
  <r>
    <n v="176"/>
    <s v="Mrs"/>
    <s v="Naina"/>
    <s v="Kohli"/>
    <d v="1987-09-09T00:00:00"/>
    <x v="1"/>
    <s v="naina.kohli176@email.com"/>
    <n v="74000"/>
    <n v="2"/>
    <x v="1"/>
    <x v="0"/>
    <x v="0"/>
    <s v="Mrs Naina Kohli"/>
    <n v="38"/>
    <x v="0"/>
    <s v="Parents"/>
    <n v="2"/>
  </r>
  <r>
    <n v="177"/>
    <s v="Mr"/>
    <s v="Rohit"/>
    <s v="Arneja"/>
    <d v="1980-12-22T00:00:00"/>
    <x v="0"/>
    <s v="rohit.arneja177@email.com"/>
    <n v="95000"/>
    <n v="4"/>
    <x v="2"/>
    <x v="0"/>
    <x v="0"/>
    <s v="Mr Rohit Arneja"/>
    <n v="45"/>
    <x v="1"/>
    <s v="Parents"/>
    <n v="3"/>
  </r>
  <r>
    <n v="178"/>
    <s v="Ms"/>
    <s v="Tanvi"/>
    <s v="Sachdeva"/>
    <d v="1992-05-05T00:00:00"/>
    <x v="1"/>
    <s v="tanvi.sachdeva178@email.com"/>
    <n v="62000"/>
    <n v="0"/>
    <x v="0"/>
    <x v="1"/>
    <x v="1"/>
    <s v="Ms Tanvi Sachdeva"/>
    <n v="34"/>
    <x v="0"/>
    <s v="Non Parents"/>
    <n v="1"/>
  </r>
  <r>
    <n v="179"/>
    <s v="Mr"/>
    <s v="Dev"/>
    <s v="Bagga"/>
    <d v="1984-08-28T00:00:00"/>
    <x v="0"/>
    <s v="dev.bagga179@email.com"/>
    <n v="83000"/>
    <n v="2"/>
    <x v="1"/>
    <x v="0"/>
    <x v="0"/>
    <s v="Mr Dev Bagga"/>
    <n v="41"/>
    <x v="0"/>
    <s v="Parents"/>
    <n v="2"/>
  </r>
  <r>
    <n v="180"/>
    <s v="Mrs"/>
    <s v="Kanika"/>
    <s v="Nanda"/>
    <d v="1988-11-15T00:00:00"/>
    <x v="1"/>
    <s v="kanika.nanda180@email.com"/>
    <n v="73000"/>
    <n v="1"/>
    <x v="0"/>
    <x v="0"/>
    <x v="1"/>
    <s v="Mrs Kanika Nanda"/>
    <n v="37"/>
    <x v="0"/>
    <s v="Non Parents"/>
    <n v="1"/>
  </r>
  <r>
    <n v="181"/>
    <s v="Mr"/>
    <s v="Sumit"/>
    <s v="Khurana"/>
    <d v="1982-01-13T00:00:00"/>
    <x v="0"/>
    <s v="sumit.khurana181@email.com"/>
    <n v="89000"/>
    <n v="3"/>
    <x v="1"/>
    <x v="0"/>
    <x v="0"/>
    <s v="Mr Sumit Khurana"/>
    <n v="44"/>
    <x v="1"/>
    <s v="Parents"/>
    <n v="2"/>
  </r>
  <r>
    <n v="182"/>
    <s v="Ms"/>
    <s v="Ayesha"/>
    <s v="Grover"/>
    <d v="1993-04-20T00:00:00"/>
    <x v="1"/>
    <s v="ayesha.grover182@email.com"/>
    <n v="61000"/>
    <n v="0"/>
    <x v="0"/>
    <x v="1"/>
    <x v="1"/>
    <s v="Ms Ayesha Grover"/>
    <n v="33"/>
    <x v="0"/>
    <s v="Non Parents"/>
    <n v="1"/>
  </r>
  <r>
    <n v="183"/>
    <s v="Mr"/>
    <s v="Kapil"/>
    <s v="Wadhwa"/>
    <d v="1981-07-02T00:00:00"/>
    <x v="0"/>
    <s v="kapil.wadhwa183@email.com"/>
    <n v="91000"/>
    <n v="2"/>
    <x v="2"/>
    <x v="0"/>
    <x v="0"/>
    <s v="Mr Kapil Wadhwa"/>
    <n v="44"/>
    <x v="1"/>
    <s v="Parents"/>
    <n v="3"/>
  </r>
  <r>
    <n v="184"/>
    <s v="Mrs"/>
    <s v="Shivani"/>
    <s v="Saluja"/>
    <d v="1987-10-31T00:00:00"/>
    <x v="1"/>
    <s v="shivani.saluja184@email.com"/>
    <n v="75000"/>
    <n v="2"/>
    <x v="1"/>
    <x v="0"/>
    <x v="0"/>
    <s v="Mrs Shivani Saluja"/>
    <n v="38"/>
    <x v="0"/>
    <s v="Parents"/>
    <n v="2"/>
  </r>
  <r>
    <n v="185"/>
    <s v="Mr"/>
    <s v="Nikhil"/>
    <s v="Juneja"/>
    <d v="1984-03-17T00:00:00"/>
    <x v="0"/>
    <s v="nikhil.juneja185@email.com"/>
    <n v="84000"/>
    <n v="2"/>
    <x v="0"/>
    <x v="0"/>
    <x v="0"/>
    <s v="Mr Nikhil Juneja"/>
    <n v="42"/>
    <x v="0"/>
    <s v="Parents"/>
    <n v="1"/>
  </r>
  <r>
    <n v="186"/>
    <s v="Ms"/>
    <s v="Priyanka"/>
    <s v="Ahuja"/>
    <d v="1994-06-23T00:00:00"/>
    <x v="1"/>
    <s v="priyanka.ahuja186@email.com"/>
    <n v="60000"/>
    <n v="0"/>
    <x v="0"/>
    <x v="1"/>
    <x v="1"/>
    <s v="Ms Priyanka Ahuja"/>
    <n v="31"/>
    <x v="0"/>
    <s v="Non Parents"/>
    <n v="1"/>
  </r>
  <r>
    <n v="187"/>
    <s v="Mr"/>
    <s v="Hitesh"/>
    <s v="Behl"/>
    <d v="1980-09-10T00:00:00"/>
    <x v="0"/>
    <s v="hitesh.behl187@email.com"/>
    <n v="93000"/>
    <n v="3"/>
    <x v="1"/>
    <x v="0"/>
    <x v="0"/>
    <s v="Mr Hitesh Behl"/>
    <n v="45"/>
    <x v="1"/>
    <s v="Parents"/>
    <n v="2"/>
  </r>
  <r>
    <n v="188"/>
    <s v="Mrs"/>
    <s v="Garima"/>
    <s v="Talwar"/>
    <d v="1988-01-28T00:00:00"/>
    <x v="1"/>
    <s v="garima.talwar188@email.com"/>
    <n v="72000"/>
    <n v="1"/>
    <x v="0"/>
    <x v="0"/>
    <x v="1"/>
    <s v="Mrs Garima Talwar"/>
    <n v="38"/>
    <x v="0"/>
    <s v="Non Parents"/>
    <n v="1"/>
  </r>
  <r>
    <n v="189"/>
    <s v="Mr"/>
    <s v="Saurabh"/>
    <s v="Kalra"/>
    <d v="1983-05-06T00:00:00"/>
    <x v="0"/>
    <s v="saurabh.kalra189@email.com"/>
    <n v="85000"/>
    <n v="2"/>
    <x v="1"/>
    <x v="0"/>
    <x v="0"/>
    <s v="Mr Saurabh Kalra"/>
    <n v="43"/>
    <x v="1"/>
    <s v="Parents"/>
    <n v="2"/>
  </r>
  <r>
    <n v="190"/>
    <s v="Ms"/>
    <s v="Ankita"/>
    <s v="Rishi"/>
    <d v="1992-08-15T00:00:00"/>
    <x v="1"/>
    <s v="ankita.rishi190@email.com"/>
    <n v="62000"/>
    <n v="0"/>
    <x v="0"/>
    <x v="1"/>
    <x v="1"/>
    <s v="Ms Ankita Rishi"/>
    <n v="33"/>
    <x v="0"/>
    <s v="Non Parents"/>
    <n v="1"/>
  </r>
  <r>
    <n v="191"/>
    <s v="Mr"/>
    <s v="Harshit"/>
    <s v="Pahwa"/>
    <d v="1981-11-21T00:00:00"/>
    <x v="0"/>
    <s v="harshit.pahwa191@email.com"/>
    <n v="90000"/>
    <n v="3"/>
    <x v="2"/>
    <x v="0"/>
    <x v="0"/>
    <s v="Mr Harshit Pahwa"/>
    <n v="44"/>
    <x v="1"/>
    <s v="Parents"/>
    <n v="3"/>
  </r>
  <r>
    <n v="192"/>
    <s v="Mrs"/>
    <s v="Rupal"/>
    <s v="Dang"/>
    <d v="1989-02-09T00:00:00"/>
    <x v="1"/>
    <s v="rupal.dang192@email.com"/>
    <n v="74000"/>
    <n v="1"/>
    <x v="1"/>
    <x v="0"/>
    <x v="1"/>
    <s v="Mrs Rupal Dang"/>
    <n v="37"/>
    <x v="0"/>
    <s v="Non Parents"/>
    <n v="2"/>
  </r>
  <r>
    <n v="193"/>
    <s v="Mr"/>
    <s v="Aditya"/>
    <s v="Sehgal"/>
    <d v="1984-07-14T00:00:00"/>
    <x v="0"/>
    <s v="aditya.sehgal193@email.com"/>
    <n v="82000"/>
    <n v="2"/>
    <x v="0"/>
    <x v="0"/>
    <x v="0"/>
    <s v="Mr Aditya Sehgal"/>
    <n v="41"/>
    <x v="0"/>
    <s v="Parents"/>
    <n v="1"/>
  </r>
  <r>
    <n v="194"/>
    <s v="Ms"/>
    <s v="Mitali"/>
    <s v="Arneja"/>
    <d v="1993-10-18T00:00:00"/>
    <x v="1"/>
    <s v="mitali.arneja194@email.com"/>
    <n v="60000"/>
    <n v="0"/>
    <x v="0"/>
    <x v="1"/>
    <x v="1"/>
    <s v="Ms Mitali Arneja"/>
    <n v="32"/>
    <x v="0"/>
    <s v="Non Parents"/>
    <n v="1"/>
  </r>
  <r>
    <n v="195"/>
    <s v="Mr"/>
    <s v="Siddharth"/>
    <s v="Tandon"/>
    <d v="1982-04-26T00:00:00"/>
    <x v="0"/>
    <s v="siddharth.tandon195@email.com"/>
    <n v="88000"/>
    <n v="3"/>
    <x v="1"/>
    <x v="0"/>
    <x v="0"/>
    <s v="Mr Siddharth Tandon"/>
    <n v="44"/>
    <x v="1"/>
    <s v="Parents"/>
    <n v="2"/>
  </r>
  <r>
    <n v="196"/>
    <s v="Mrs"/>
    <s v="Ekta"/>
    <s v="Bajaj"/>
    <d v="1987-12-03T00:00:00"/>
    <x v="1"/>
    <s v="ekta.bajaj196@email.com"/>
    <n v="73000"/>
    <n v="2"/>
    <x v="0"/>
    <x v="0"/>
    <x v="0"/>
    <s v="Mrs Ekta Bajaj"/>
    <n v="38"/>
    <x v="0"/>
    <s v="Parents"/>
    <n v="1"/>
  </r>
  <r>
    <n v="197"/>
    <s v="Mr"/>
    <s v="Vishal"/>
    <s v="Chadha"/>
    <d v="1980-06-30T00:00:00"/>
    <x v="0"/>
    <s v="vishal.chadha197@email.com"/>
    <n v="94000"/>
    <n v="3"/>
    <x v="1"/>
    <x v="0"/>
    <x v="0"/>
    <s v="Mr Vishal Chadha"/>
    <n v="45"/>
    <x v="1"/>
    <s v="Parents"/>
    <n v="2"/>
  </r>
  <r>
    <n v="198"/>
    <s v="Ms"/>
    <s v="Ruchi"/>
    <s v="Madan"/>
    <d v="1994-09-11T00:00:00"/>
    <x v="1"/>
    <s v="ruchi.madan198@email.com"/>
    <n v="61000"/>
    <n v="0"/>
    <x v="0"/>
    <x v="1"/>
    <x v="1"/>
    <s v="Ms Ruchi Madan"/>
    <n v="31"/>
    <x v="0"/>
    <s v="Non Parents"/>
    <n v="1"/>
  </r>
  <r>
    <n v="199"/>
    <s v="Mr"/>
    <s v="Alok"/>
    <s v="Sarin"/>
    <d v="1983-01-25T00:00:00"/>
    <x v="0"/>
    <s v="alok.sarin199@email.com"/>
    <n v="86000"/>
    <n v="2"/>
    <x v="0"/>
    <x v="0"/>
    <x v="0"/>
    <s v="Mr Alok Sarin"/>
    <n v="43"/>
    <x v="1"/>
    <s v="Parents"/>
    <n v="1"/>
  </r>
  <r>
    <n v="200"/>
    <s v="Mrs"/>
    <s v="Bhavna"/>
    <s v="Puri"/>
    <d v="1988-05-19T00:00:00"/>
    <x v="1"/>
    <s v="bhavna.puri200@email.com"/>
    <n v="75000"/>
    <n v="1"/>
    <x v="1"/>
    <x v="0"/>
    <x v="1"/>
    <s v="Mrs Bhavna Puri"/>
    <n v="38"/>
    <x v="0"/>
    <s v="Non Parents"/>
    <n v="2"/>
  </r>
  <r>
    <n v="201"/>
    <s v="Mr"/>
    <s v="Akshay"/>
    <s v="Bhalla"/>
    <d v="1984-02-12T00:00:00"/>
    <x v="0"/>
    <s v="akshay.bhalla201@email.com"/>
    <n v="84000"/>
    <n v="2"/>
    <x v="0"/>
    <x v="0"/>
    <x v="0"/>
    <s v="Mr Akshay Bhalla"/>
    <n v="42"/>
    <x v="0"/>
    <s v="Parents"/>
    <n v="1"/>
  </r>
  <r>
    <n v="202"/>
    <s v="Ms"/>
    <s v="Shalini"/>
    <s v="Mehra"/>
    <d v="1993-06-18T00:00:00"/>
    <x v="1"/>
    <s v="shalini.mehra202@email.com"/>
    <n v="62000"/>
    <n v="0"/>
    <x v="1"/>
    <x v="1"/>
    <x v="1"/>
    <s v="Ms Shalini Mehra"/>
    <n v="32"/>
    <x v="0"/>
    <s v="Non Parents"/>
    <n v="2"/>
  </r>
  <r>
    <n v="203"/>
    <s v="Mr"/>
    <s v="Rajat"/>
    <s v="Kapur"/>
    <d v="1981-09-07T00:00:00"/>
    <x v="0"/>
    <s v="rajat.kapur203@email.com"/>
    <n v="91000"/>
    <n v="3"/>
    <x v="1"/>
    <x v="0"/>
    <x v="0"/>
    <s v="Mr Rajat Kapur"/>
    <n v="44"/>
    <x v="1"/>
    <s v="Parents"/>
    <n v="2"/>
  </r>
  <r>
    <n v="204"/>
    <s v="Mrs"/>
    <s v="Anjali"/>
    <s v="Khurana"/>
    <d v="1988-01-24T00:00:00"/>
    <x v="1"/>
    <s v="anjali.khurana204@email.com"/>
    <n v="73000"/>
    <n v="1"/>
    <x v="0"/>
    <x v="0"/>
    <x v="1"/>
    <s v="Mrs Anjali Khurana"/>
    <n v="38"/>
    <x v="0"/>
    <s v="Non Parents"/>
    <n v="1"/>
  </r>
  <r>
    <n v="205"/>
    <s v="Mr"/>
    <s v="Sameer"/>
    <s v="Sood"/>
    <d v="1980-04-15T00:00:00"/>
    <x v="0"/>
    <s v="sameer.sood205@email.com"/>
    <n v="95000"/>
    <n v="3"/>
    <x v="2"/>
    <x v="0"/>
    <x v="0"/>
    <s v="Mr Sameer Sood"/>
    <n v="46"/>
    <x v="1"/>
    <s v="Parents"/>
    <n v="3"/>
  </r>
  <r>
    <n v="206"/>
    <s v="Ms"/>
    <s v="Pallak"/>
    <s v="Grover"/>
    <d v="1994-08-11T00:00:00"/>
    <x v="1"/>
    <s v="pallak.grover206@email.com"/>
    <n v="60000"/>
    <n v="0"/>
    <x v="0"/>
    <x v="1"/>
    <x v="1"/>
    <s v="Ms Pallak Grover"/>
    <n v="31"/>
    <x v="0"/>
    <s v="Non Parents"/>
    <n v="1"/>
  </r>
  <r>
    <n v="207"/>
    <s v="Mr"/>
    <s v="Vinay"/>
    <s v="Chopra"/>
    <d v="1983-11-29T00:00:00"/>
    <x v="0"/>
    <s v="vinay.chopra207@email.com"/>
    <n v="86000"/>
    <n v="2"/>
    <x v="1"/>
    <x v="0"/>
    <x v="0"/>
    <s v="Mr Vinay Chopra"/>
    <n v="42"/>
    <x v="1"/>
    <s v="Parents"/>
    <n v="2"/>
  </r>
  <r>
    <n v="208"/>
    <s v="Mrs"/>
    <s v="Neetu"/>
    <s v="Arora"/>
    <d v="1987-05-17T00:00:00"/>
    <x v="1"/>
    <s v="neetu.arora208@email.com"/>
    <n v="74000"/>
    <n v="2"/>
    <x v="0"/>
    <x v="0"/>
    <x v="0"/>
    <s v="Mrs Neetu Arora"/>
    <n v="39"/>
    <x v="0"/>
    <s v="Parents"/>
    <n v="1"/>
  </r>
  <r>
    <n v="209"/>
    <s v="Mr"/>
    <s v="Sumit"/>
    <s v="Malik"/>
    <d v="1982-07-08T00:00:00"/>
    <x v="0"/>
    <s v="sumit.malik209@email.com"/>
    <n v="88000"/>
    <n v="2"/>
    <x v="1"/>
    <x v="0"/>
    <x v="0"/>
    <s v="Mr Sumit Malik"/>
    <n v="43"/>
    <x v="1"/>
    <s v="Parents"/>
    <n v="2"/>
  </r>
  <r>
    <n v="210"/>
    <s v="Ms"/>
    <s v="Radhika"/>
    <s v="Batra"/>
    <d v="1992-12-02T00:00:00"/>
    <x v="1"/>
    <s v="radhika.batra210@email.com"/>
    <n v="61000"/>
    <n v="0"/>
    <x v="0"/>
    <x v="1"/>
    <x v="1"/>
    <s v="Ms Radhika Batra"/>
    <n v="33"/>
    <x v="0"/>
    <s v="Non Parents"/>
    <n v="1"/>
  </r>
  <r>
    <n v="211"/>
    <s v="Mr"/>
    <s v="Ankur"/>
    <s v="Nagpal"/>
    <d v="1985-03-21T00:00:00"/>
    <x v="0"/>
    <s v="ankur.nagpal211@email.com"/>
    <n v="83000"/>
    <n v="2"/>
    <x v="0"/>
    <x v="0"/>
    <x v="0"/>
    <s v="Mr Ankur Nagpal"/>
    <n v="41"/>
    <x v="0"/>
    <s v="Parents"/>
    <n v="1"/>
  </r>
  <r>
    <n v="212"/>
    <s v="Mrs"/>
    <s v="Sheetal"/>
    <s v="Puri"/>
    <d v="1989-09-14T00:00:00"/>
    <x v="1"/>
    <s v="sheetal.puri212@email.com"/>
    <n v="72000"/>
    <n v="1"/>
    <x v="1"/>
    <x v="0"/>
    <x v="1"/>
    <s v="Mrs Sheetal Puri"/>
    <n v="36"/>
    <x v="0"/>
    <s v="Non Parents"/>
    <n v="2"/>
  </r>
  <r>
    <n v="213"/>
    <s v="Mr"/>
    <s v="Girish"/>
    <s v="Dua"/>
    <d v="1981-01-05T00:00:00"/>
    <x v="0"/>
    <s v="girish.dua213@email.com"/>
    <n v="90000"/>
    <n v="3"/>
    <x v="1"/>
    <x v="0"/>
    <x v="0"/>
    <s v="Mr Girish Dua"/>
    <n v="45"/>
    <x v="1"/>
    <s v="Parents"/>
    <n v="2"/>
  </r>
  <r>
    <n v="214"/>
    <s v="Ms"/>
    <s v="Twinkle"/>
    <s v="Sethi"/>
    <d v="1994-04-30T00:00:00"/>
    <x v="1"/>
    <s v="twinkle.sethi214@email.com"/>
    <n v="59000"/>
    <n v="0"/>
    <x v="0"/>
    <x v="1"/>
    <x v="1"/>
    <s v="Ms Twinkle Sethi"/>
    <n v="32"/>
    <x v="2"/>
    <s v="Non Parents"/>
    <n v="1"/>
  </r>
  <r>
    <n v="215"/>
    <s v="Mr"/>
    <s v="Pranav"/>
    <s v="Khanna"/>
    <d v="1983-10-13T00:00:00"/>
    <x v="0"/>
    <s v="pranav.khanna215@email.com"/>
    <n v="85000"/>
    <n v="2"/>
    <x v="0"/>
    <x v="0"/>
    <x v="0"/>
    <s v="Mr Pranav Khanna"/>
    <n v="42"/>
    <x v="1"/>
    <s v="Parents"/>
    <n v="1"/>
  </r>
  <r>
    <n v="216"/>
    <s v="Mrs"/>
    <s v="Kriti"/>
    <s v="Chawla"/>
    <d v="1988-06-25T00:00:00"/>
    <x v="1"/>
    <s v="kriti.chawla216@email.com"/>
    <n v="75000"/>
    <n v="2"/>
    <x v="1"/>
    <x v="0"/>
    <x v="0"/>
    <s v="Mrs Kriti Chawla"/>
    <n v="37"/>
    <x v="0"/>
    <s v="Parents"/>
    <n v="2"/>
  </r>
  <r>
    <n v="217"/>
    <s v="Mr"/>
    <s v="Mayank"/>
    <s v="Anand"/>
    <d v="1980-08-19T00:00:00"/>
    <x v="0"/>
    <s v="mayank.anand217@email.com"/>
    <n v="92000"/>
    <n v="3"/>
    <x v="2"/>
    <x v="0"/>
    <x v="0"/>
    <s v="Mr Mayank Anand"/>
    <n v="45"/>
    <x v="1"/>
    <s v="Parents"/>
    <n v="3"/>
  </r>
  <r>
    <n v="218"/>
    <s v="Ms"/>
    <s v="Sonia"/>
    <s v="Luthra"/>
    <d v="1992-02-08T00:00:00"/>
    <x v="1"/>
    <s v="sonia.luthra218@email.com"/>
    <n v="62000"/>
    <n v="0"/>
    <x v="0"/>
    <x v="1"/>
    <x v="1"/>
    <s v="Ms Sonia Luthra"/>
    <n v="34"/>
    <x v="0"/>
    <s v="Non Parents"/>
    <n v="1"/>
  </r>
  <r>
    <n v="219"/>
    <s v="Mr"/>
    <s v="Ashwin"/>
    <s v="Kalra"/>
    <d v="1984-05-27T00:00:00"/>
    <x v="0"/>
    <s v="ashwin.kalra219@email.com"/>
    <n v="84000"/>
    <n v="2"/>
    <x v="1"/>
    <x v="0"/>
    <x v="0"/>
    <s v="Mr Ashwin Kalra"/>
    <n v="42"/>
    <x v="0"/>
    <s v="Parents"/>
    <n v="2"/>
  </r>
  <r>
    <n v="220"/>
    <s v="Mrs"/>
    <s v="Neelam"/>
    <s v="Talwar"/>
    <d v="1987-11-12T00:00:00"/>
    <x v="1"/>
    <s v="neelam.talwar220@email.com"/>
    <n v="73000"/>
    <n v="1"/>
    <x v="0"/>
    <x v="0"/>
    <x v="1"/>
    <s v="Mrs Neelam Talwar"/>
    <n v="38"/>
    <x v="0"/>
    <s v="Non Parents"/>
    <n v="1"/>
  </r>
  <r>
    <n v="221"/>
    <s v="Mr"/>
    <s v="Ravi"/>
    <s v="Wadhwa"/>
    <d v="1982-03-16T00:00:00"/>
    <x v="0"/>
    <s v="ravi.wadhwa221@email.com"/>
    <n v="89000"/>
    <n v="2"/>
    <x v="1"/>
    <x v="0"/>
    <x v="0"/>
    <s v="Mr Ravi Wadhwa"/>
    <n v="44"/>
    <x v="1"/>
    <s v="Parents"/>
    <n v="2"/>
  </r>
  <r>
    <n v="222"/>
    <s v="Ms"/>
    <s v="Ritika"/>
    <s v="Saluja"/>
    <d v="1993-07-23T00:00:00"/>
    <x v="1"/>
    <s v="ritika.saluja222@email.com"/>
    <n v="61000"/>
    <n v="0"/>
    <x v="0"/>
    <x v="1"/>
    <x v="1"/>
    <s v="Ms Ritika Saluja"/>
    <n v="32"/>
    <x v="0"/>
    <s v="Non Parents"/>
    <n v="1"/>
  </r>
  <r>
    <n v="223"/>
    <s v="Mr"/>
    <s v="Naveen"/>
    <s v="Juneja"/>
    <d v="1981-12-09T00:00:00"/>
    <x v="0"/>
    <s v="naveen.juneja223@email.com"/>
    <n v="93000"/>
    <n v="3"/>
    <x v="2"/>
    <x v="0"/>
    <x v="0"/>
    <s v="Mr Naveen Juneja"/>
    <n v="44"/>
    <x v="1"/>
    <s v="Parents"/>
    <n v="3"/>
  </r>
  <r>
    <n v="224"/>
    <s v="Mrs"/>
    <s v="Monika"/>
    <s v="Ahuja"/>
    <d v="1988-04-18T00:00:00"/>
    <x v="1"/>
    <s v="monika.ahuja224@email.com"/>
    <n v="74000"/>
    <n v="2"/>
    <x v="1"/>
    <x v="0"/>
    <x v="0"/>
    <s v="Mrs Monika Ahuja"/>
    <n v="38"/>
    <x v="0"/>
    <s v="Parents"/>
    <n v="2"/>
  </r>
  <r>
    <n v="225"/>
    <s v="Mr"/>
    <s v="Deepanshu"/>
    <s v="Behl"/>
    <d v="1983-09-03T00:00:00"/>
    <x v="0"/>
    <s v="deepanshu.behl225@email.com"/>
    <n v="82000"/>
    <n v="2"/>
    <x v="0"/>
    <x v="0"/>
    <x v="0"/>
    <s v="Mr Deepanshu Behl"/>
    <n v="42"/>
    <x v="0"/>
    <s v="Parents"/>
    <n v="1"/>
  </r>
  <r>
    <n v="226"/>
    <s v="Ms"/>
    <s v="Shraddha"/>
    <s v="Rishi"/>
    <d v="1994-01-29T00:00:00"/>
    <x v="1"/>
    <s v="shraddha.rishi226@email.com"/>
    <n v="60000"/>
    <n v="0"/>
    <x v="0"/>
    <x v="1"/>
    <x v="1"/>
    <s v="Ms Shraddha Rishi"/>
    <n v="32"/>
    <x v="0"/>
    <s v="Non Parents"/>
    <n v="1"/>
  </r>
  <r>
    <n v="227"/>
    <s v="Mr"/>
    <s v="Rohit"/>
    <s v="Pahwa"/>
    <d v="1980-06-22T00:00:00"/>
    <x v="0"/>
    <s v="rohit.pahwa227@email.com"/>
    <n v="95000"/>
    <n v="4"/>
    <x v="1"/>
    <x v="0"/>
    <x v="0"/>
    <s v="Mr Rohit Pahwa"/>
    <n v="45"/>
    <x v="1"/>
    <s v="Parents"/>
    <n v="2"/>
  </r>
  <r>
    <n v="228"/>
    <s v="Mrs"/>
    <s v="Meenakshi"/>
    <s v="Dang"/>
    <d v="1987-10-08T00:00:00"/>
    <x v="1"/>
    <s v="meenakshi.dang228@email.com"/>
    <n v="72000"/>
    <n v="1"/>
    <x v="0"/>
    <x v="0"/>
    <x v="1"/>
    <s v="Mrs Meenakshi Dang"/>
    <n v="38"/>
    <x v="0"/>
    <s v="Non Parents"/>
    <n v="1"/>
  </r>
  <r>
    <n v="229"/>
    <s v="Mr"/>
    <s v="Vikas"/>
    <s v="Sehgal"/>
    <d v="1984-02-14T00:00:00"/>
    <x v="0"/>
    <s v="vikas.sehgal229@email.com"/>
    <n v="86000"/>
    <n v="2"/>
    <x v="1"/>
    <x v="0"/>
    <x v="0"/>
    <s v="Mr Vikas Sehgal"/>
    <n v="42"/>
    <x v="1"/>
    <s v="Parents"/>
    <n v="2"/>
  </r>
  <r>
    <n v="230"/>
    <s v="Ms"/>
    <s v="Anusha"/>
    <s v="Bajaj"/>
    <d v="1993-05-19T00:00:00"/>
    <x v="1"/>
    <s v="anusha.bajaj230@email.com"/>
    <n v="62000"/>
    <n v="0"/>
    <x v="0"/>
    <x v="1"/>
    <x v="1"/>
    <s v="Ms Anusha Bajaj"/>
    <n v="33"/>
    <x v="0"/>
    <s v="Non Parents"/>
    <n v="1"/>
  </r>
  <r>
    <n v="231"/>
    <s v="Mr"/>
    <s v="Tushar"/>
    <s v="Chadha"/>
    <d v="1982-08-30T00:00:00"/>
    <x v="0"/>
    <s v="tushar.chadha231@email.com"/>
    <n v="90000"/>
    <n v="3"/>
    <x v="2"/>
    <x v="0"/>
    <x v="0"/>
    <s v="Mr Tushar Chadha"/>
    <n v="43"/>
    <x v="1"/>
    <s v="Parents"/>
    <n v="3"/>
  </r>
  <r>
    <n v="232"/>
    <s v="Mrs"/>
    <s v="Payal"/>
    <s v="Madan"/>
    <d v="1988-12-15T00:00:00"/>
    <x v="1"/>
    <s v="payal.madan232@email.com"/>
    <n v="74000"/>
    <n v="1"/>
    <x v="1"/>
    <x v="0"/>
    <x v="1"/>
    <s v="Mrs Payal Madan"/>
    <n v="37"/>
    <x v="0"/>
    <s v="Non Parents"/>
    <n v="2"/>
  </r>
  <r>
    <n v="233"/>
    <s v="Mr"/>
    <s v="Kamal"/>
    <s v="Sarin"/>
    <d v="1981-04-10T00:00:00"/>
    <x v="0"/>
    <s v="kamal.sarin233@email.com"/>
    <n v="85000"/>
    <n v="2"/>
    <x v="0"/>
    <x v="0"/>
    <x v="0"/>
    <s v="Mr Kamal Sarin"/>
    <n v="45"/>
    <x v="1"/>
    <s v="Parents"/>
    <n v="1"/>
  </r>
  <r>
    <n v="234"/>
    <s v="Ms"/>
    <s v="Simmi"/>
    <s v="Bhalla"/>
    <d v="1992-09-27T00:00:00"/>
    <x v="1"/>
    <s v="simmi.bhalla234@email.com"/>
    <n v="61000"/>
    <n v="0"/>
    <x v="0"/>
    <x v="1"/>
    <x v="1"/>
    <s v="Ms Simmi Bhalla"/>
    <n v="33"/>
    <x v="0"/>
    <s v="Non Parents"/>
    <n v="1"/>
  </r>
  <r>
    <n v="235"/>
    <s v="Mr"/>
    <s v="Arvind"/>
    <s v="Mehra"/>
    <d v="1983-01-20T00:00:00"/>
    <x v="0"/>
    <s v="arvind.mehra235@email.com"/>
    <n v="92000"/>
    <n v="3"/>
    <x v="1"/>
    <x v="0"/>
    <x v="0"/>
    <s v="Mr Arvind Mehra"/>
    <n v="43"/>
    <x v="1"/>
    <s v="Parents"/>
    <n v="2"/>
  </r>
  <r>
    <n v="236"/>
    <s v="Mrs"/>
    <s v="Shweta"/>
    <s v="Kapur"/>
    <d v="1989-07-06T00:00:00"/>
    <x v="1"/>
    <s v="shweta.kapur236@email.com"/>
    <n v="73000"/>
    <n v="2"/>
    <x v="0"/>
    <x v="0"/>
    <x v="0"/>
    <s v="Mrs Shweta Kapur"/>
    <n v="36"/>
    <x v="0"/>
    <s v="Parents"/>
    <n v="1"/>
  </r>
  <r>
    <n v="237"/>
    <s v="Mr"/>
    <s v="Dheeraj"/>
    <s v="Sood"/>
    <d v="1980-11-11T00:00:00"/>
    <x v="0"/>
    <s v="dheeraj.sood237@email.com"/>
    <n v="97000"/>
    <n v="4"/>
    <x v="2"/>
    <x v="0"/>
    <x v="0"/>
    <s v="Mr Dheeraj Sood"/>
    <n v="45"/>
    <x v="1"/>
    <s v="Parents"/>
    <n v="3"/>
  </r>
  <r>
    <n v="238"/>
    <s v="Ms"/>
    <s v="Nikita"/>
    <s v="Grover"/>
    <d v="1994-03-03T00:00:00"/>
    <x v="1"/>
    <s v="nikita.grover238@email.com"/>
    <n v="59000"/>
    <n v="0"/>
    <x v="0"/>
    <x v="1"/>
    <x v="1"/>
    <s v="Ms Nikita Grover"/>
    <n v="32"/>
    <x v="2"/>
    <s v="Non Parents"/>
    <n v="1"/>
  </r>
  <r>
    <n v="239"/>
    <s v="Mr"/>
    <s v="Lokesh"/>
    <s v="Chopra"/>
    <d v="1982-06-28T00:00:00"/>
    <x v="0"/>
    <s v="lokesh.chopra239@email.com"/>
    <n v="84000"/>
    <n v="2"/>
    <x v="1"/>
    <x v="0"/>
    <x v="0"/>
    <s v="Mr Lokesh Chopra"/>
    <n v="43"/>
    <x v="0"/>
    <s v="Parents"/>
    <n v="2"/>
  </r>
  <r>
    <n v="240"/>
    <s v="Mrs"/>
    <s v="Akriti"/>
    <s v="Arora"/>
    <d v="1988-08-24T00:00:00"/>
    <x v="1"/>
    <s v="akriti.arora240@email.com"/>
    <n v="75000"/>
    <n v="1"/>
    <x v="0"/>
    <x v="0"/>
    <x v="1"/>
    <s v="Mrs Akriti Arora"/>
    <n v="37"/>
    <x v="0"/>
    <s v="Non Parents"/>
    <n v="1"/>
  </r>
  <r>
    <n v="241"/>
    <s v="Mr"/>
    <s v="Manav"/>
    <s v="Malik"/>
    <d v="1981-02-17T00:00:00"/>
    <x v="0"/>
    <s v="manav.malik241@email.com"/>
    <n v="89000"/>
    <n v="3"/>
    <x v="1"/>
    <x v="0"/>
    <x v="0"/>
    <s v="Mr Manav Malik"/>
    <n v="45"/>
    <x v="1"/>
    <s v="Parents"/>
    <n v="2"/>
  </r>
  <r>
    <n v="242"/>
    <s v="Ms"/>
    <s v="Juhi"/>
    <s v="Batra"/>
    <d v="1993-10-01T00:00:00"/>
    <x v="1"/>
    <s v="juhi.batra242@email.com"/>
    <n v="62000"/>
    <n v="0"/>
    <x v="0"/>
    <x v="1"/>
    <x v="1"/>
    <s v="Ms Juhi Batra"/>
    <n v="32"/>
    <x v="0"/>
    <s v="Non Parents"/>
    <n v="1"/>
  </r>
  <r>
    <n v="243"/>
    <s v="Mr"/>
    <s v="Sachit"/>
    <s v="Nagpal"/>
    <d v="1984-04-09T00:00:00"/>
    <x v="0"/>
    <s v="sachit.nagpal243@email.com"/>
    <n v="83000"/>
    <n v="2"/>
    <x v="0"/>
    <x v="0"/>
    <x v="0"/>
    <s v="Mr Sachit Nagpal"/>
    <n v="42"/>
    <x v="0"/>
    <s v="Parents"/>
    <n v="1"/>
  </r>
  <r>
    <n v="244"/>
    <s v="Mrs"/>
    <s v="Parul"/>
    <s v="Puri"/>
    <d v="1987-12-21T00:00:00"/>
    <x v="1"/>
    <s v="parul.puri244@email.com"/>
    <n v="72000"/>
    <n v="2"/>
    <x v="1"/>
    <x v="0"/>
    <x v="0"/>
    <s v="Mrs Parul Puri"/>
    <n v="38"/>
    <x v="0"/>
    <s v="Parents"/>
    <n v="2"/>
  </r>
  <r>
    <n v="245"/>
    <s v="Mr"/>
    <s v="Amitabh"/>
    <s v="Dua"/>
    <d v="1980-05-16T00:00:00"/>
    <x v="0"/>
    <s v="amitabh.dua245@email.com"/>
    <n v="94000"/>
    <n v="3"/>
    <x v="2"/>
    <x v="0"/>
    <x v="0"/>
    <s v="Mr Amitabh Dua"/>
    <n v="46"/>
    <x v="1"/>
    <s v="Parents"/>
    <n v="3"/>
  </r>
  <r>
    <n v="246"/>
    <s v="Ms"/>
    <s v="Ruchi"/>
    <s v="Sethi"/>
    <d v="1992-08-05T00:00:00"/>
    <x v="1"/>
    <s v="ruchi.sethi246@email.com"/>
    <n v="60000"/>
    <n v="0"/>
    <x v="0"/>
    <x v="1"/>
    <x v="1"/>
    <s v="Ms Ruchi Sethi"/>
    <n v="33"/>
    <x v="0"/>
    <s v="Non Parents"/>
    <n v="1"/>
  </r>
  <r>
    <n v="247"/>
    <s v="Mr"/>
    <s v="Nikhil"/>
    <s v="Khanna"/>
    <d v="1983-03-11T00:00:00"/>
    <x v="0"/>
    <s v="nikhil.khanna247@email.com"/>
    <n v="86000"/>
    <n v="2"/>
    <x v="1"/>
    <x v="0"/>
    <x v="0"/>
    <s v="Mr Nikhil Khanna"/>
    <n v="43"/>
    <x v="1"/>
    <s v="Parents"/>
    <n v="2"/>
  </r>
  <r>
    <n v="248"/>
    <s v="Mrs"/>
    <s v="Garima"/>
    <s v="Chawla"/>
    <d v="1988-09-18T00:00:00"/>
    <x v="1"/>
    <s v="garima.chawla248@email.com"/>
    <n v="74000"/>
    <n v="1"/>
    <x v="0"/>
    <x v="0"/>
    <x v="1"/>
    <s v="Mrs Garima Chawla"/>
    <n v="37"/>
    <x v="0"/>
    <s v="Non Parents"/>
    <n v="1"/>
  </r>
  <r>
    <n v="249"/>
    <s v="Mr"/>
    <s v="Aditya"/>
    <s v="Anand"/>
    <d v="1981-07-27T00:00:00"/>
    <x v="0"/>
    <s v="aditya.anand249@email.com"/>
    <n v="91000"/>
    <n v="3"/>
    <x v="1"/>
    <x v="0"/>
    <x v="0"/>
    <s v="Mr Aditya Anand"/>
    <n v="44"/>
    <x v="1"/>
    <s v="Parents"/>
    <n v="2"/>
  </r>
  <r>
    <n v="250"/>
    <s v="Ms"/>
    <s v="Sonam"/>
    <s v="Luthra"/>
    <d v="1994-01-13T00:00:00"/>
    <x v="1"/>
    <s v="sonam.luthra250@email.com"/>
    <n v="61000"/>
    <n v="0"/>
    <x v="0"/>
    <x v="1"/>
    <x v="1"/>
    <s v="Ms Sonam Luthra"/>
    <n v="32"/>
    <x v="0"/>
    <s v="Non Parents"/>
    <n v="1"/>
  </r>
  <r>
    <n v="251"/>
    <s v="Mr"/>
    <s v="Harish"/>
    <s v="Kalra"/>
    <d v="1982-11-07T00:00:00"/>
    <x v="0"/>
    <s v="harish.kalra251@email.com"/>
    <n v="85000"/>
    <n v="2"/>
    <x v="0"/>
    <x v="0"/>
    <x v="0"/>
    <s v="Mr Harish Kalra"/>
    <n v="43"/>
    <x v="1"/>
    <s v="Parents"/>
    <n v="1"/>
  </r>
  <r>
    <n v="252"/>
    <s v="Mrs"/>
    <s v="Tina"/>
    <s v="Talwar"/>
    <d v="1987-06-29T00:00:00"/>
    <x v="1"/>
    <s v="tina.talwar252@email.com"/>
    <n v="73000"/>
    <n v="2"/>
    <x v="1"/>
    <x v="0"/>
    <x v="0"/>
    <s v="Mrs Tina Talwar"/>
    <n v="38"/>
    <x v="0"/>
    <s v="Parents"/>
    <n v="2"/>
  </r>
  <r>
    <n v="253"/>
    <s v="Mr"/>
    <s v="Puneet"/>
    <s v="Wadhwa"/>
    <d v="1980-09-22T00:00:00"/>
    <x v="0"/>
    <s v="puneet.wadhwa253@email.com"/>
    <n v="93000"/>
    <n v="3"/>
    <x v="2"/>
    <x v="0"/>
    <x v="0"/>
    <s v="Mr Puneet Wadhwa"/>
    <n v="45"/>
    <x v="1"/>
    <s v="Parents"/>
    <n v="3"/>
  </r>
  <r>
    <n v="254"/>
    <s v="Ms"/>
    <s v="Muskaan"/>
    <s v="Saluja"/>
    <d v="1993-02-14T00:00:00"/>
    <x v="1"/>
    <s v="muskaan.saluja254@email.com"/>
    <n v="62000"/>
    <n v="0"/>
    <x v="0"/>
    <x v="1"/>
    <x v="1"/>
    <s v="Ms Muskaan Saluja"/>
    <n v="33"/>
    <x v="0"/>
    <s v="Non Parents"/>
    <n v="1"/>
  </r>
  <r>
    <n v="255"/>
    <s v="Mr"/>
    <s v="Varun"/>
    <s v="Juneja"/>
    <d v="1984-12-04T00:00:00"/>
    <x v="0"/>
    <s v="varun.juneja255@email.com"/>
    <n v="84000"/>
    <n v="2"/>
    <x v="1"/>
    <x v="0"/>
    <x v="0"/>
    <s v="Mr Varun Juneja"/>
    <n v="41"/>
    <x v="0"/>
    <s v="Parents"/>
    <n v="2"/>
  </r>
  <r>
    <n v="256"/>
    <s v="Mrs"/>
    <s v="Divya"/>
    <s v="Ahuja"/>
    <d v="1988-04-26T00:00:00"/>
    <x v="1"/>
    <s v="divya.ahuja256@email.com"/>
    <n v="74000"/>
    <n v="1"/>
    <x v="0"/>
    <x v="0"/>
    <x v="1"/>
    <s v="Mrs Divya Ahuja"/>
    <n v="38"/>
    <x v="0"/>
    <s v="Non Parents"/>
    <n v="1"/>
  </r>
  <r>
    <n v="257"/>
    <s v="Mr"/>
    <s v="Kartik"/>
    <s v="Behl"/>
    <d v="1981-08-12T00:00:00"/>
    <x v="0"/>
    <s v="kartik.behl257@email.com"/>
    <n v="89000"/>
    <n v="3"/>
    <x v="1"/>
    <x v="0"/>
    <x v="0"/>
    <s v="Mr Kartik Behl"/>
    <n v="44"/>
    <x v="1"/>
    <s v="Parents"/>
    <n v="2"/>
  </r>
  <r>
    <n v="258"/>
    <s v="Ms"/>
    <s v="Ishita"/>
    <s v="Rishi"/>
    <d v="1992-05-31T00:00:00"/>
    <x v="1"/>
    <s v="ishita.rishi258@email.com"/>
    <n v="61000"/>
    <n v="0"/>
    <x v="0"/>
    <x v="1"/>
    <x v="1"/>
    <s v="Ms Ishita Rishi"/>
    <n v="34"/>
    <x v="0"/>
    <s v="Non Parents"/>
    <n v="1"/>
  </r>
  <r>
    <n v="259"/>
    <s v="Mr"/>
    <s v="Sandeep"/>
    <s v="Pahwa"/>
    <d v="1983-10-18T00:00:00"/>
    <x v="0"/>
    <s v="sandeep.pahwa259@email.com"/>
    <n v="92000"/>
    <n v="3"/>
    <x v="2"/>
    <x v="0"/>
    <x v="0"/>
    <s v="Mr Sandeep Pahwa"/>
    <n v="42"/>
    <x v="1"/>
    <s v="Parents"/>
    <n v="3"/>
  </r>
  <r>
    <n v="260"/>
    <s v="Mrs"/>
    <s v="Aastha"/>
    <s v="Dang"/>
    <d v="1987-01-09T00:00:00"/>
    <x v="1"/>
    <s v="aastha.dang260@email.com"/>
    <n v="73000"/>
    <n v="2"/>
    <x v="1"/>
    <x v="0"/>
    <x v="0"/>
    <s v="Mrs Aastha Dang"/>
    <n v="39"/>
    <x v="0"/>
    <s v="Parents"/>
    <n v="2"/>
  </r>
  <r>
    <n v="261"/>
    <s v="Mr"/>
    <s v="Abhinav"/>
    <s v="Sehgal"/>
    <d v="1982-07-25T00:00:00"/>
    <x v="0"/>
    <s v="abhinav.sehgal261@email.com"/>
    <n v="85000"/>
    <n v="2"/>
    <x v="0"/>
    <x v="0"/>
    <x v="0"/>
    <s v="Mr Abhinav Sehgal"/>
    <n v="43"/>
    <x v="1"/>
    <s v="Parents"/>
    <n v="1"/>
  </r>
  <r>
    <n v="262"/>
    <s v="Ms"/>
    <s v="Khushi"/>
    <s v="Bajaj"/>
    <d v="1994-03-17T00:00:00"/>
    <x v="1"/>
    <s v="khushi.bajaj262@email.com"/>
    <n v="60000"/>
    <n v="0"/>
    <x v="0"/>
    <x v="1"/>
    <x v="1"/>
    <s v="Ms Khushi Bajaj"/>
    <n v="32"/>
    <x v="0"/>
    <s v="Non Parents"/>
    <n v="1"/>
  </r>
  <r>
    <n v="263"/>
    <s v="Mr"/>
    <s v="Rajat"/>
    <s v="Chadha"/>
    <d v="1981-11-20T00:00:00"/>
    <x v="0"/>
    <s v="rajat.chadha263@email.com"/>
    <n v="90000"/>
    <n v="3"/>
    <x v="1"/>
    <x v="0"/>
    <x v="0"/>
    <s v="Mr Rajat Chadha"/>
    <n v="44"/>
    <x v="1"/>
    <s v="Parents"/>
    <n v="2"/>
  </r>
  <r>
    <n v="264"/>
    <s v="Mrs"/>
    <s v="Kanika"/>
    <s v="Madan"/>
    <d v="1988-06-11T00:00:00"/>
    <x v="1"/>
    <s v="kanika.madan264@email.com"/>
    <n v="74000"/>
    <n v="1"/>
    <x v="0"/>
    <x v="0"/>
    <x v="1"/>
    <s v="Mrs Kanika Madan"/>
    <n v="37"/>
    <x v="0"/>
    <s v="Non Parents"/>
    <n v="1"/>
  </r>
  <r>
    <n v="265"/>
    <s v="Mr"/>
    <s v="Mohit"/>
    <s v="Sarin"/>
    <d v="1983-01-30T00:00:00"/>
    <x v="0"/>
    <s v="mohit.sarin265@email.com"/>
    <n v="83000"/>
    <n v="2"/>
    <x v="1"/>
    <x v="0"/>
    <x v="0"/>
    <s v="Mr Mohit Sarin"/>
    <n v="43"/>
    <x v="0"/>
    <s v="Parents"/>
    <n v="2"/>
  </r>
  <r>
    <n v="266"/>
    <s v="Ms"/>
    <s v="Roshni"/>
    <s v="Bhalla"/>
    <d v="1993-09-16T00:00:00"/>
    <x v="1"/>
    <s v="roshni.bhalla266@email.com"/>
    <n v="62000"/>
    <n v="0"/>
    <x v="0"/>
    <x v="1"/>
    <x v="1"/>
    <s v="Ms Roshni Bhalla"/>
    <n v="32"/>
    <x v="0"/>
    <s v="Non Parents"/>
    <n v="1"/>
  </r>
  <r>
    <n v="267"/>
    <s v="Mr"/>
    <s v="Anand"/>
    <s v="Mehra"/>
    <d v="1980-04-21T00:00:00"/>
    <x v="0"/>
    <s v="anand.mehra267@email.com"/>
    <n v="94000"/>
    <n v="4"/>
    <x v="2"/>
    <x v="0"/>
    <x v="0"/>
    <s v="Mr Anand Mehra"/>
    <n v="46"/>
    <x v="1"/>
    <s v="Parents"/>
    <n v="3"/>
  </r>
  <r>
    <n v="268"/>
    <s v="Mrs"/>
    <s v="Priyanka"/>
    <s v="Kapur"/>
    <d v="1987-12-08T00:00:00"/>
    <x v="1"/>
    <s v="priyanka.kapur268@email.com"/>
    <n v="72000"/>
    <n v="2"/>
    <x v="1"/>
    <x v="0"/>
    <x v="0"/>
    <s v="Mrs Priyanka Kapur"/>
    <n v="38"/>
    <x v="0"/>
    <s v="Parents"/>
    <n v="2"/>
  </r>
  <r>
    <n v="269"/>
    <s v="Mr"/>
    <s v="Gautam"/>
    <s v="Sood"/>
    <d v="1982-05-13T00:00:00"/>
    <x v="0"/>
    <s v="gautam.sood269@email.com"/>
    <n v="87000"/>
    <n v="2"/>
    <x v="0"/>
    <x v="0"/>
    <x v="0"/>
    <s v="Mr Gautam Sood"/>
    <n v="44"/>
    <x v="1"/>
    <s v="Parents"/>
    <n v="1"/>
  </r>
  <r>
    <n v="270"/>
    <s v="Ms"/>
    <s v="Ekta"/>
    <s v="Grover"/>
    <d v="1994-08-28T00:00:00"/>
    <x v="1"/>
    <s v="ekta.grover270@email.com"/>
    <n v="60000"/>
    <n v="0"/>
    <x v="0"/>
    <x v="1"/>
    <x v="1"/>
    <s v="Ms Ekta Grover"/>
    <n v="31"/>
    <x v="0"/>
    <s v="Non Parents"/>
    <n v="1"/>
  </r>
  <r>
    <n v="271"/>
    <s v="Mr"/>
    <s v="Vivek"/>
    <s v="Chopra"/>
    <d v="1981-02-02T00:00:00"/>
    <x v="0"/>
    <s v="vivek.chopra271@email.com"/>
    <n v="91000"/>
    <n v="3"/>
    <x v="1"/>
    <x v="0"/>
    <x v="0"/>
    <s v="Mr Vivek Chopra"/>
    <n v="45"/>
    <x v="1"/>
    <s v="Parents"/>
    <n v="2"/>
  </r>
  <r>
    <n v="272"/>
    <s v="Mrs"/>
    <s v="Renu"/>
    <s v="Arora"/>
    <d v="1988-10-19T00:00:00"/>
    <x v="1"/>
    <s v="renu.arora272@email.com"/>
    <n v="73000"/>
    <n v="1"/>
    <x v="0"/>
    <x v="0"/>
    <x v="1"/>
    <s v="Mrs Renu Arora"/>
    <n v="37"/>
    <x v="0"/>
    <s v="Non Parents"/>
    <n v="1"/>
  </r>
  <r>
    <n v="273"/>
    <s v="Mr"/>
    <s v="Ashok"/>
    <s v="Malik"/>
    <d v="1983-07-07T00:00:00"/>
    <x v="0"/>
    <s v="ashok.malik273@email.com"/>
    <n v="85000"/>
    <n v="2"/>
    <x v="1"/>
    <x v="0"/>
    <x v="0"/>
    <s v="Mr Ashok Malik"/>
    <n v="42"/>
    <x v="1"/>
    <s v="Parents"/>
    <n v="2"/>
  </r>
  <r>
    <n v="274"/>
    <s v="Ms"/>
    <s v="Shivani"/>
    <s v="Batra"/>
    <d v="1992-12-24T00:00:00"/>
    <x v="1"/>
    <s v="shivani.batra274@email.com"/>
    <n v="61000"/>
    <n v="0"/>
    <x v="0"/>
    <x v="1"/>
    <x v="1"/>
    <s v="Ms Shivani Batra"/>
    <n v="33"/>
    <x v="0"/>
    <s v="Non Parents"/>
    <n v="1"/>
  </r>
  <r>
    <n v="275"/>
    <s v="Mr"/>
    <s v="Manish"/>
    <s v="Nagpal"/>
    <d v="1980-06-15T00:00:00"/>
    <x v="0"/>
    <s v="manish.nagpal275@email.com"/>
    <n v="95000"/>
    <n v="4"/>
    <x v="2"/>
    <x v="0"/>
    <x v="0"/>
    <s v="Mr Manish Nagpal"/>
    <n v="45"/>
    <x v="1"/>
    <s v="Parents"/>
    <n v="3"/>
  </r>
  <r>
    <n v="276"/>
    <s v="Mrs"/>
    <s v="Rekha"/>
    <s v="Puri"/>
    <d v="1987-03-04T00:00:00"/>
    <x v="1"/>
    <s v="rekha.puri276@email.com"/>
    <n v="74000"/>
    <n v="2"/>
    <x v="1"/>
    <x v="0"/>
    <x v="0"/>
    <s v="Mrs Rekha Puri"/>
    <n v="39"/>
    <x v="0"/>
    <s v="Parents"/>
    <n v="2"/>
  </r>
  <r>
    <n v="277"/>
    <s v="Mr"/>
    <s v="Nitin"/>
    <s v="Dua"/>
    <d v="1984-09-09T00:00:00"/>
    <x v="0"/>
    <s v="nitin.dua277@email.com"/>
    <n v="84000"/>
    <n v="2"/>
    <x v="0"/>
    <x v="0"/>
    <x v="0"/>
    <s v="Mr Nitin Dua"/>
    <n v="41"/>
    <x v="0"/>
    <s v="Parents"/>
    <n v="1"/>
  </r>
  <r>
    <n v="278"/>
    <s v="Ms"/>
    <s v="Tanya"/>
    <s v="Sethi"/>
    <d v="1993-05-27T00:00:00"/>
    <x v="1"/>
    <s v="tanya.sethi278@email.com"/>
    <n v="62000"/>
    <n v="0"/>
    <x v="0"/>
    <x v="1"/>
    <x v="1"/>
    <s v="Ms Tanya Sethi"/>
    <n v="33"/>
    <x v="0"/>
    <s v="Non Parents"/>
    <n v="1"/>
  </r>
  <r>
    <n v="279"/>
    <s v="Mr"/>
    <s v="Sunny"/>
    <s v="Khanna"/>
    <d v="1981-01-12T00:00:00"/>
    <x v="0"/>
    <s v="sunny.khanna279@email.com"/>
    <n v="89000"/>
    <n v="3"/>
    <x v="1"/>
    <x v="0"/>
    <x v="0"/>
    <s v="Mr Sunny Khanna"/>
    <n v="45"/>
    <x v="1"/>
    <s v="Parents"/>
    <n v="2"/>
  </r>
  <r>
    <n v="280"/>
    <s v="Mrs"/>
    <s v="Neha"/>
    <s v="Chawla"/>
    <d v="1988-08-23T00:00:00"/>
    <x v="1"/>
    <s v="neha.chawla280@email.com"/>
    <n v="73000"/>
    <n v="1"/>
    <x v="0"/>
    <x v="0"/>
    <x v="1"/>
    <s v="Mrs Neha Chawla"/>
    <n v="37"/>
    <x v="0"/>
    <s v="Non Parents"/>
    <n v="1"/>
  </r>
  <r>
    <n v="281"/>
    <s v="Mr"/>
    <s v="Ajit"/>
    <s v="Anand"/>
    <d v="1983-04-14T00:00:00"/>
    <x v="0"/>
    <s v="ajit.anand281@email.com"/>
    <n v="82000"/>
    <n v="2"/>
    <x v="1"/>
    <x v="0"/>
    <x v="0"/>
    <s v="Mr Ajit Anand"/>
    <n v="43"/>
    <x v="0"/>
    <s v="Parents"/>
    <n v="2"/>
  </r>
  <r>
    <n v="282"/>
    <s v="Ms"/>
    <s v="Komal"/>
    <s v="Luthra"/>
    <d v="1994-11-05T00:00:00"/>
    <x v="1"/>
    <s v="komal.luthra282@email.com"/>
    <n v="60000"/>
    <n v="0"/>
    <x v="0"/>
    <x v="1"/>
    <x v="1"/>
    <s v="Ms Komal Luthra"/>
    <n v="31"/>
    <x v="0"/>
    <s v="Non Parents"/>
    <n v="1"/>
  </r>
  <r>
    <n v="283"/>
    <s v="Mr"/>
    <s v="Rajeev"/>
    <s v="Kalra"/>
    <d v="1980-02-28T00:00:00"/>
    <x v="0"/>
    <s v="rajeev.kalra283@email.com"/>
    <n v="92000"/>
    <n v="3"/>
    <x v="2"/>
    <x v="0"/>
    <x v="0"/>
    <s v="Mr Rajeev Kalra"/>
    <n v="46"/>
    <x v="1"/>
    <s v="Parents"/>
    <n v="3"/>
  </r>
  <r>
    <n v="284"/>
    <s v="Mrs"/>
    <s v="Sonali"/>
    <s v="Talwar"/>
    <d v="1987-07-17T00:00:00"/>
    <x v="1"/>
    <s v="sonali.talwar284@email.com"/>
    <n v="75000"/>
    <n v="2"/>
    <x v="1"/>
    <x v="0"/>
    <x v="0"/>
    <s v="Mrs Sonali Talwar"/>
    <n v="38"/>
    <x v="0"/>
    <s v="Parents"/>
    <n v="2"/>
  </r>
  <r>
    <n v="285"/>
    <s v="Mr"/>
    <s v="Pradeep"/>
    <s v="Wadhwa"/>
    <d v="1982-10-10T00:00:00"/>
    <x v="0"/>
    <s v="pradeep.wadhwa285@email.com"/>
    <n v="86000"/>
    <n v="2"/>
    <x v="0"/>
    <x v="0"/>
    <x v="0"/>
    <s v="Mr Pradeep Wadhwa"/>
    <n v="43"/>
    <x v="1"/>
    <s v="Parents"/>
    <n v="1"/>
  </r>
  <r>
    <n v="286"/>
    <s v="Ms"/>
    <s v="Nisha"/>
    <s v="Saluja"/>
    <d v="1993-03-29T00:00:00"/>
    <x v="1"/>
    <s v="nisha.saluja286@email.com"/>
    <n v="61000"/>
    <n v="0"/>
    <x v="0"/>
    <x v="1"/>
    <x v="1"/>
    <s v="Ms Nisha Saluja"/>
    <n v="33"/>
    <x v="0"/>
    <s v="Non Parents"/>
    <n v="1"/>
  </r>
  <r>
    <n v="287"/>
    <s v="Mr"/>
    <s v="Karan"/>
    <s v="Juneja"/>
    <d v="1981-09-21T00:00:00"/>
    <x v="0"/>
    <s v="karan.juneja287@email.com"/>
    <n v="90000"/>
    <n v="3"/>
    <x v="1"/>
    <x v="0"/>
    <x v="0"/>
    <s v="Mr Karan Juneja"/>
    <n v="44"/>
    <x v="1"/>
    <s v="Parents"/>
    <n v="2"/>
  </r>
  <r>
    <n v="288"/>
    <s v="Mrs"/>
    <s v="Ritika"/>
    <s v="Ahuja"/>
    <d v="1988-01-15T00:00:00"/>
    <x v="1"/>
    <s v="ritika.ahuja288@email.com"/>
    <n v="73000"/>
    <n v="1"/>
    <x v="0"/>
    <x v="0"/>
    <x v="1"/>
    <s v="Mrs Ritika Ahuja"/>
    <n v="38"/>
    <x v="0"/>
    <s v="Non Parents"/>
    <n v="1"/>
  </r>
  <r>
    <n v="289"/>
    <s v="Mr"/>
    <s v="Anup"/>
    <s v="Behl"/>
    <d v="1984-06-08T00:00:00"/>
    <x v="0"/>
    <s v="anup.behl289@email.com"/>
    <n v="85000"/>
    <n v="2"/>
    <x v="1"/>
    <x v="0"/>
    <x v="0"/>
    <s v="Mr Anup Behl"/>
    <n v="42"/>
    <x v="1"/>
    <s v="Parents"/>
    <n v="2"/>
  </r>
  <r>
    <n v="290"/>
    <s v="Ms"/>
    <s v="Preeti"/>
    <s v="Rishi"/>
    <d v="1992-10-30T00:00:00"/>
    <x v="1"/>
    <s v="preeti.rishi290@email.com"/>
    <n v="62000"/>
    <n v="0"/>
    <x v="0"/>
    <x v="1"/>
    <x v="1"/>
    <s v="Ms Preeti Rishi"/>
    <n v="33"/>
    <x v="0"/>
    <s v="Non Parents"/>
    <n v="1"/>
  </r>
  <r>
    <n v="291"/>
    <s v="Mr"/>
    <s v="Shashank"/>
    <s v="Pahwa"/>
    <d v="1980-03-18T00:00:00"/>
    <x v="0"/>
    <s v="shashank.pahwa291@email.com"/>
    <n v="94000"/>
    <n v="4"/>
    <x v="2"/>
    <x v="0"/>
    <x v="0"/>
    <s v="Mr Shashank Pahwa"/>
    <n v="46"/>
    <x v="1"/>
    <s v="Parents"/>
    <n v="3"/>
  </r>
  <r>
    <n v="292"/>
    <s v="Mrs"/>
    <s v="Poonam"/>
    <s v="Dang"/>
    <d v="1987-11-09T00:00:00"/>
    <x v="1"/>
    <s v="poonam.dang292@email.com"/>
    <n v="72000"/>
    <n v="2"/>
    <x v="1"/>
    <x v="0"/>
    <x v="0"/>
    <s v="Mrs Poonam Dang"/>
    <n v="38"/>
    <x v="0"/>
    <s v="Parents"/>
    <n v="2"/>
  </r>
  <r>
    <n v="293"/>
    <s v="Mr"/>
    <s v="Ayush"/>
    <s v="Sehgal"/>
    <d v="1982-08-26T00:00:00"/>
    <x v="0"/>
    <s v="ayush.sehgal293@email.com"/>
    <n v="83000"/>
    <n v="2"/>
    <x v="0"/>
    <x v="0"/>
    <x v="0"/>
    <s v="Mr Ayush Sehgal"/>
    <n v="43"/>
    <x v="0"/>
    <s v="Parents"/>
    <n v="1"/>
  </r>
  <r>
    <n v="294"/>
    <s v="Ms"/>
    <s v="Rhea"/>
    <s v="Bajaj"/>
    <d v="1994-04-07T00:00:00"/>
    <x v="1"/>
    <s v="rhea.bajaj294@email.com"/>
    <n v="60000"/>
    <n v="0"/>
    <x v="0"/>
    <x v="1"/>
    <x v="1"/>
    <s v="Ms Rhea Bajaj"/>
    <n v="32"/>
    <x v="0"/>
    <s v="Non Parents"/>
    <n v="1"/>
  </r>
  <r>
    <n v="295"/>
    <s v="Mr"/>
    <s v="Raghav"/>
    <s v="Chadha"/>
    <d v="1981-12-12T00:00:00"/>
    <x v="0"/>
    <s v="raghav.chadha295@email.com"/>
    <n v="91000"/>
    <n v="3"/>
    <x v="1"/>
    <x v="0"/>
    <x v="0"/>
    <s v="Mr Raghav Chadha"/>
    <n v="44"/>
    <x v="1"/>
    <s v="Parents"/>
    <n v="2"/>
  </r>
  <r>
    <n v="296"/>
    <s v="Mrs"/>
    <s v="Mehak"/>
    <s v="Madan"/>
    <d v="1988-05-22T00:00:00"/>
    <x v="1"/>
    <s v="mehak.madan296@email.com"/>
    <n v="74000"/>
    <n v="1"/>
    <x v="0"/>
    <x v="0"/>
    <x v="1"/>
    <s v="Mrs Mehak Madan"/>
    <n v="38"/>
    <x v="0"/>
    <s v="Non Parents"/>
    <n v="1"/>
  </r>
  <r>
    <n v="297"/>
    <s v="Mr"/>
    <s v="Devendra"/>
    <s v="Sarin"/>
    <d v="1983-02-11T00:00:00"/>
    <x v="0"/>
    <s v="devendra.sarin297@email.com"/>
    <n v="85000"/>
    <n v="2"/>
    <x v="1"/>
    <x v="0"/>
    <x v="0"/>
    <s v="Mr Devendra Sarin"/>
    <n v="43"/>
    <x v="1"/>
    <s v="Parents"/>
    <n v="2"/>
  </r>
  <r>
    <n v="298"/>
    <s v="Ms"/>
    <s v="Anvi"/>
    <s v="Bhalla"/>
    <d v="1993-07-25T00:00:00"/>
    <x v="1"/>
    <s v="anvi.bhalla298@email.com"/>
    <n v="61000"/>
    <n v="0"/>
    <x v="0"/>
    <x v="1"/>
    <x v="1"/>
    <s v="Ms Anvi Bhalla"/>
    <n v="32"/>
    <x v="0"/>
    <s v="Non Parents"/>
    <n v="1"/>
  </r>
  <r>
    <n v="299"/>
    <s v="Mr"/>
    <s v="Lokendra"/>
    <s v="Mehra"/>
    <d v="1980-10-03T00:00:00"/>
    <x v="0"/>
    <s v="lokendra.mehra299@email.com"/>
    <n v="93000"/>
    <n v="4"/>
    <x v="2"/>
    <x v="0"/>
    <x v="0"/>
    <s v="Mr Lokendra Mehra"/>
    <n v="45"/>
    <x v="1"/>
    <s v="Parents"/>
    <n v="3"/>
  </r>
  <r>
    <n v="300"/>
    <s v="Mrs"/>
    <s v="Sakina"/>
    <s v="Kapur"/>
    <d v="1987-09-14T00:00:00"/>
    <x v="1"/>
    <s v="sakina.kapur300@email.com"/>
    <n v="73000"/>
    <n v="2"/>
    <x v="1"/>
    <x v="0"/>
    <x v="0"/>
    <s v="Mrs Sakina Kapur"/>
    <n v="38"/>
    <x v="0"/>
    <s v="Parents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0B93B-93F0-4CC4-AACC-7B0226C9DB03}" name="PivotTable6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artial Status">
  <location ref="A24:B27" firstHeaderRow="1" firstDataRow="1" firstDataCol="1"/>
  <pivotFields count="17"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Annual Incom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C98C3-EC9A-4A9B-8BCE-2D3C10F776BB}" name="PivotTable5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Homeowner">
  <location ref="A19:B21" firstHeaderRow="1" firstDataRow="1" firstDataCol="1"/>
  <pivotFields count="17"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2">
    <i>
      <x/>
    </i>
    <i>
      <x v="1"/>
    </i>
  </rowItems>
  <colItems count="1">
    <i/>
  </colItems>
  <dataFields count="1">
    <dataField name="Avg Annual Incom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D042C-EC2A-4E35-B775-D537DA8C76D7}" name="PivotTable4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Salary Category">
  <location ref="A12:B15" firstHeaderRow="1" firstDataRow="1" firstDataCol="1"/>
  <pivotFields count="17"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Total Custom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CE4C2-FCE5-4957-9200-C08C1205EC08}" name="PivotTable3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Gender">
  <location ref="A7:B9" firstHeaderRow="1" firstDataRow="1" firstDataCol="1"/>
  <pivotFields count="17">
    <pivotField showAll="0"/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/>
    </i>
    <i>
      <x v="1"/>
    </i>
  </rowItems>
  <colItems count="1">
    <i/>
  </colItems>
  <dataFields count="1">
    <dataField name="Avg Incom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98D1B-C65A-4414-82D7-7092794A0719}" name="PivotTable1" cacheId="1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Education">
  <location ref="A1:B4" firstHeaderRow="1" firstDataRow="1" firstDataCol="1"/>
  <pivotFields count="17"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>
      <x v="2"/>
    </i>
  </rowItems>
  <colItems count="1">
    <i/>
  </colItems>
  <dataFields count="1">
    <dataField name="Avg Annual Income" fld="7" subtotal="average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B007C0-1FF9-4034-80FD-8098CE2F1167}" name="Table2" displayName="Table2" ref="A1:Q201" totalsRowShown="0" headerRowDxfId="0" headerRowBorderDxfId="19" tableBorderDxfId="20" totalsRowBorderDxfId="18">
  <tableColumns count="17">
    <tableColumn id="1" xr3:uid="{34CEF25B-F401-4C77-95F3-95EC84D22D9F}" name="ID" dataDxfId="17"/>
    <tableColumn id="2" xr3:uid="{6B801B5A-EE2B-4103-A716-289F8D4A224C}" name="Prefix" dataDxfId="16"/>
    <tableColumn id="3" xr3:uid="{8AAB0B11-D0C3-4112-A7CD-D57B7FC49A0A}" name="First Name" dataDxfId="15"/>
    <tableColumn id="4" xr3:uid="{5927454C-C346-42D2-80DB-6C889F8E867F}" name="Last Name" dataDxfId="14"/>
    <tableColumn id="5" xr3:uid="{D9096F90-531A-4267-914A-03C615695EFB}" name="Birthdate" dataDxfId="13"/>
    <tableColumn id="6" xr3:uid="{AAE6C78C-176A-4114-B87C-5A62500C95C0}" name="Gender" dataDxfId="12"/>
    <tableColumn id="7" xr3:uid="{0F461BFC-C404-4EC2-992C-2DDA950EDACA}" name="Email Address" dataDxfId="11"/>
    <tableColumn id="8" xr3:uid="{039C35EB-6A86-434F-B6F4-D262831BDCD2}" name="Annual Income" dataDxfId="10"/>
    <tableColumn id="9" xr3:uid="{52DFEC0B-A595-4348-B25E-606F44EEF291}" name="Total Children" dataDxfId="9"/>
    <tableColumn id="10" xr3:uid="{E93BA879-32C0-4440-B2CE-32443099CB27}" name="Education" dataDxfId="8"/>
    <tableColumn id="11" xr3:uid="{5C14F109-0403-4BE5-AFA5-5C83216DD299}" name="Homeowner" dataDxfId="7"/>
    <tableColumn id="12" xr3:uid="{CB5E3592-449F-4DC1-8E3C-E3AE25421B30}" name="Martial Status" dataDxfId="6">
      <calculatedColumnFormula>IF(I2&gt;1,"Married","Single")</calculatedColumnFormula>
    </tableColumn>
    <tableColumn id="13" xr3:uid="{EB1D5CFA-4CEF-4F34-8EEB-5A99C871EBB6}" name="Full Name" dataDxfId="5">
      <calculatedColumnFormula>CONCATENATE(B2," ", C2," ", D2)</calculatedColumnFormula>
    </tableColumn>
    <tableColumn id="14" xr3:uid="{0DB89972-9416-4500-ABAE-2D2048DF049E}" name="Age" dataDxfId="4">
      <calculatedColumnFormula>DATEDIF(E2,TODAY(),"Y")</calculatedColumnFormula>
    </tableColumn>
    <tableColumn id="15" xr3:uid="{F440B16E-1C60-4DC4-8BED-7D9FB4055EBC}" name="Salary Category" dataDxfId="3">
      <calculatedColumnFormula>IF(H2&lt;60000,"Low",IF(H2&lt;85000,"Medium","High"))</calculatedColumnFormula>
    </tableColumn>
    <tableColumn id="16" xr3:uid="{9BF38E63-0D55-44AD-AF15-930B8741B4B8}" name="Parents Status" dataDxfId="2">
      <calculatedColumnFormula>IF(I2&gt;1,"Parents","Non Parents")</calculatedColumnFormula>
    </tableColumn>
    <tableColumn id="17" xr3:uid="{038B4895-39B0-469B-AFC7-F46637DE7817}" name="Education Rank" dataDxfId="1">
      <calculatedColumnFormula array="1">_xlfn.IFS(J2="Bachelor",1,
J2="Master",2,
J2="PhD",3)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E84A-1656-4DBB-ABAB-4AFE411B27AE}">
  <dimension ref="A1:Q201"/>
  <sheetViews>
    <sheetView tabSelected="1" zoomScaleNormal="100" workbookViewId="0"/>
  </sheetViews>
  <sheetFormatPr defaultRowHeight="15" x14ac:dyDescent="0.25"/>
  <cols>
    <col min="3" max="3" width="12.7109375" customWidth="1"/>
    <col min="4" max="4" width="12.28515625" customWidth="1"/>
    <col min="5" max="5" width="12" bestFit="1" customWidth="1"/>
    <col min="6" max="6" width="9.85546875" customWidth="1"/>
    <col min="7" max="7" width="27.28515625" bestFit="1" customWidth="1"/>
    <col min="8" max="8" width="16.42578125" customWidth="1"/>
    <col min="9" max="9" width="15.5703125" customWidth="1"/>
    <col min="10" max="10" width="11.85546875" customWidth="1"/>
    <col min="11" max="11" width="14.140625" customWidth="1"/>
    <col min="12" max="12" width="15.42578125" customWidth="1"/>
    <col min="13" max="13" width="21.85546875" bestFit="1" customWidth="1"/>
    <col min="15" max="15" width="16.7109375" customWidth="1"/>
    <col min="16" max="16" width="15.7109375" customWidth="1"/>
    <col min="17" max="17" width="16.5703125" customWidth="1"/>
  </cols>
  <sheetData>
    <row r="1" spans="1:17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494</v>
      </c>
      <c r="M1" s="12" t="s">
        <v>495</v>
      </c>
      <c r="N1" s="12" t="s">
        <v>496</v>
      </c>
      <c r="O1" s="12" t="s">
        <v>497</v>
      </c>
      <c r="P1" s="12" t="s">
        <v>498</v>
      </c>
      <c r="Q1" s="13" t="s">
        <v>499</v>
      </c>
    </row>
    <row r="2" spans="1:17" x14ac:dyDescent="0.25">
      <c r="A2" s="14">
        <v>101</v>
      </c>
      <c r="B2" s="15" t="s">
        <v>11</v>
      </c>
      <c r="C2" s="15" t="s">
        <v>12</v>
      </c>
      <c r="D2" s="15" t="s">
        <v>13</v>
      </c>
      <c r="E2" s="16">
        <v>30696</v>
      </c>
      <c r="F2" s="15" t="s">
        <v>14</v>
      </c>
      <c r="G2" s="15" t="s">
        <v>15</v>
      </c>
      <c r="H2" s="15">
        <v>82000</v>
      </c>
      <c r="I2" s="15">
        <v>2</v>
      </c>
      <c r="J2" s="15" t="s">
        <v>16</v>
      </c>
      <c r="K2" s="15" t="s">
        <v>17</v>
      </c>
      <c r="L2" s="15" t="str">
        <f>IF(I2&gt;1,"Married","Single")</f>
        <v>Married</v>
      </c>
      <c r="M2" s="15" t="str">
        <f>CONCATENATE(B2," ", C2," ", D2)</f>
        <v>Mr Arjun Sharma</v>
      </c>
      <c r="N2" s="15">
        <f ca="1">DATEDIF(E2,TODAY(),"Y")</f>
        <v>42</v>
      </c>
      <c r="O2" s="15" t="str">
        <f>IF(H2&lt;60000,"Low",IF(H2&lt;85000,"Medium","High"))</f>
        <v>Medium</v>
      </c>
      <c r="P2" s="15" t="str">
        <f>IF(I2&gt;1,"Parents","Non Parents")</f>
        <v>Parents</v>
      </c>
      <c r="Q2" s="17" cm="1">
        <f t="array" ref="Q2">_xlfn.IFS(J2="Bachelor",1,
J2="Master",2,
J2="PhD",3)</f>
        <v>1</v>
      </c>
    </row>
    <row r="3" spans="1:17" x14ac:dyDescent="0.25">
      <c r="A3" s="14">
        <v>102</v>
      </c>
      <c r="B3" s="15" t="s">
        <v>18</v>
      </c>
      <c r="C3" s="15" t="s">
        <v>19</v>
      </c>
      <c r="D3" s="15" t="s">
        <v>20</v>
      </c>
      <c r="E3" s="16">
        <v>33684</v>
      </c>
      <c r="F3" s="15" t="s">
        <v>21</v>
      </c>
      <c r="G3" s="15" t="s">
        <v>22</v>
      </c>
      <c r="H3" s="15">
        <v>61000</v>
      </c>
      <c r="I3" s="15">
        <v>0</v>
      </c>
      <c r="J3" s="15" t="s">
        <v>23</v>
      </c>
      <c r="K3" s="15" t="s">
        <v>24</v>
      </c>
      <c r="L3" s="15" t="str">
        <f t="shared" ref="L3:L66" si="0">IF(I3&gt;1,"Married","Single")</f>
        <v>Single</v>
      </c>
      <c r="M3" s="15" t="str">
        <f t="shared" ref="M3:M66" si="1">CONCATENATE(B3," ", C3," ", D3)</f>
        <v>Ms Priya Patel</v>
      </c>
      <c r="N3" s="15">
        <f t="shared" ref="N3:N66" ca="1" si="2">DATEDIF(E3,TODAY(),"Y")</f>
        <v>34</v>
      </c>
      <c r="O3" s="15" t="str">
        <f t="shared" ref="O3:O66" si="3">IF(H3&lt;60000,"Low",IF(H3&lt;85000,"Medium","High"))</f>
        <v>Medium</v>
      </c>
      <c r="P3" s="15" t="str">
        <f t="shared" ref="P3:P66" si="4">IF(I3&gt;1,"Parents","Non Parents")</f>
        <v>Non Parents</v>
      </c>
      <c r="Q3" s="17" cm="1">
        <f t="array" ref="Q3">_xlfn.IFS(J3="Bachelor",1,
J3="Master",2,
J3="PhD",3)</f>
        <v>2</v>
      </c>
    </row>
    <row r="4" spans="1:17" x14ac:dyDescent="0.25">
      <c r="A4" s="14">
        <v>103</v>
      </c>
      <c r="B4" s="15" t="s">
        <v>11</v>
      </c>
      <c r="C4" s="15" t="s">
        <v>25</v>
      </c>
      <c r="D4" s="15" t="s">
        <v>26</v>
      </c>
      <c r="E4" s="16">
        <v>29775</v>
      </c>
      <c r="F4" s="15" t="s">
        <v>14</v>
      </c>
      <c r="G4" s="15" t="s">
        <v>27</v>
      </c>
      <c r="H4" s="15">
        <v>89000</v>
      </c>
      <c r="I4" s="15">
        <v>3</v>
      </c>
      <c r="J4" s="15" t="s">
        <v>16</v>
      </c>
      <c r="K4" s="15" t="s">
        <v>17</v>
      </c>
      <c r="L4" s="15" t="str">
        <f t="shared" si="0"/>
        <v>Married</v>
      </c>
      <c r="M4" s="15" t="str">
        <f t="shared" si="1"/>
        <v>Mr Rohan Singh</v>
      </c>
      <c r="N4" s="15">
        <f t="shared" ca="1" si="2"/>
        <v>44</v>
      </c>
      <c r="O4" s="15" t="str">
        <f t="shared" si="3"/>
        <v>High</v>
      </c>
      <c r="P4" s="15" t="str">
        <f t="shared" si="4"/>
        <v>Parents</v>
      </c>
      <c r="Q4" s="17" cm="1">
        <f t="array" ref="Q4">_xlfn.IFS(J4="Bachelor",1,
J4="Master",2,
J4="PhD",3)</f>
        <v>1</v>
      </c>
    </row>
    <row r="5" spans="1:17" x14ac:dyDescent="0.25">
      <c r="A5" s="14">
        <v>104</v>
      </c>
      <c r="B5" s="15" t="s">
        <v>28</v>
      </c>
      <c r="C5" s="15" t="s">
        <v>29</v>
      </c>
      <c r="D5" s="15" t="s">
        <v>30</v>
      </c>
      <c r="E5" s="16">
        <v>32275</v>
      </c>
      <c r="F5" s="15" t="s">
        <v>21</v>
      </c>
      <c r="G5" s="15" t="s">
        <v>31</v>
      </c>
      <c r="H5" s="15">
        <v>74000</v>
      </c>
      <c r="I5" s="15">
        <v>1</v>
      </c>
      <c r="J5" s="15" t="s">
        <v>23</v>
      </c>
      <c r="K5" s="15" t="s">
        <v>17</v>
      </c>
      <c r="L5" s="15" t="str">
        <f t="shared" si="0"/>
        <v>Single</v>
      </c>
      <c r="M5" s="15" t="str">
        <f t="shared" si="1"/>
        <v>Mrs Neha Gupta</v>
      </c>
      <c r="N5" s="15">
        <f t="shared" ca="1" si="2"/>
        <v>38</v>
      </c>
      <c r="O5" s="15" t="str">
        <f t="shared" si="3"/>
        <v>Medium</v>
      </c>
      <c r="P5" s="15" t="str">
        <f t="shared" si="4"/>
        <v>Non Parents</v>
      </c>
      <c r="Q5" s="17" cm="1">
        <f t="array" ref="Q5">_xlfn.IFS(J5="Bachelor",1,
J5="Master",2,
J5="PhD",3)</f>
        <v>2</v>
      </c>
    </row>
    <row r="6" spans="1:17" x14ac:dyDescent="0.25">
      <c r="A6" s="14">
        <v>105</v>
      </c>
      <c r="B6" s="15" t="s">
        <v>11</v>
      </c>
      <c r="C6" s="15" t="s">
        <v>32</v>
      </c>
      <c r="D6" s="15" t="s">
        <v>33</v>
      </c>
      <c r="E6" s="16">
        <v>29182</v>
      </c>
      <c r="F6" s="15" t="s">
        <v>14</v>
      </c>
      <c r="G6" s="15" t="s">
        <v>34</v>
      </c>
      <c r="H6" s="15">
        <v>96000</v>
      </c>
      <c r="I6" s="15">
        <v>2</v>
      </c>
      <c r="J6" s="15" t="s">
        <v>35</v>
      </c>
      <c r="K6" s="15" t="s">
        <v>17</v>
      </c>
      <c r="L6" s="15" t="str">
        <f t="shared" si="0"/>
        <v>Married</v>
      </c>
      <c r="M6" s="15" t="str">
        <f t="shared" si="1"/>
        <v>Mr Vikram Mehta</v>
      </c>
      <c r="N6" s="15">
        <f t="shared" ca="1" si="2"/>
        <v>46</v>
      </c>
      <c r="O6" s="15" t="str">
        <f t="shared" si="3"/>
        <v>High</v>
      </c>
      <c r="P6" s="15" t="str">
        <f t="shared" si="4"/>
        <v>Parents</v>
      </c>
      <c r="Q6" s="17" cm="1">
        <f t="array" ref="Q6">_xlfn.IFS(J6="Bachelor",1,
J6="Master",2,
J6="PhD",3)</f>
        <v>3</v>
      </c>
    </row>
    <row r="7" spans="1:17" x14ac:dyDescent="0.25">
      <c r="A7" s="14">
        <v>106</v>
      </c>
      <c r="B7" s="15" t="s">
        <v>18</v>
      </c>
      <c r="C7" s="15" t="s">
        <v>36</v>
      </c>
      <c r="D7" s="15" t="s">
        <v>37</v>
      </c>
      <c r="E7" s="16">
        <v>34591</v>
      </c>
      <c r="F7" s="15" t="s">
        <v>21</v>
      </c>
      <c r="G7" s="15" t="s">
        <v>38</v>
      </c>
      <c r="H7" s="15">
        <v>58000</v>
      </c>
      <c r="I7" s="15">
        <v>0</v>
      </c>
      <c r="J7" s="15" t="s">
        <v>16</v>
      </c>
      <c r="K7" s="15" t="s">
        <v>24</v>
      </c>
      <c r="L7" s="15" t="str">
        <f t="shared" si="0"/>
        <v>Single</v>
      </c>
      <c r="M7" s="15" t="str">
        <f t="shared" si="1"/>
        <v>Ms Ananya Verma</v>
      </c>
      <c r="N7" s="15">
        <f t="shared" ca="1" si="2"/>
        <v>31</v>
      </c>
      <c r="O7" s="15" t="str">
        <f t="shared" si="3"/>
        <v>Low</v>
      </c>
      <c r="P7" s="15" t="str">
        <f t="shared" si="4"/>
        <v>Non Parents</v>
      </c>
      <c r="Q7" s="17" cm="1">
        <f t="array" ref="Q7">_xlfn.IFS(J7="Bachelor",1,
J7="Master",2,
J7="PhD",3)</f>
        <v>1</v>
      </c>
    </row>
    <row r="8" spans="1:17" x14ac:dyDescent="0.25">
      <c r="A8" s="14">
        <v>107</v>
      </c>
      <c r="B8" s="15" t="s">
        <v>11</v>
      </c>
      <c r="C8" s="15" t="s">
        <v>39</v>
      </c>
      <c r="D8" s="15" t="s">
        <v>40</v>
      </c>
      <c r="E8" s="16">
        <v>30424</v>
      </c>
      <c r="F8" s="15" t="s">
        <v>14</v>
      </c>
      <c r="G8" s="15" t="s">
        <v>41</v>
      </c>
      <c r="H8" s="15">
        <v>84000</v>
      </c>
      <c r="I8" s="15">
        <v>2</v>
      </c>
      <c r="J8" s="15" t="s">
        <v>23</v>
      </c>
      <c r="K8" s="15" t="s">
        <v>17</v>
      </c>
      <c r="L8" s="15" t="str">
        <f t="shared" si="0"/>
        <v>Married</v>
      </c>
      <c r="M8" s="15" t="str">
        <f t="shared" si="1"/>
        <v>Mr Karan Malhotra</v>
      </c>
      <c r="N8" s="15">
        <f t="shared" ca="1" si="2"/>
        <v>43</v>
      </c>
      <c r="O8" s="15" t="str">
        <f t="shared" si="3"/>
        <v>Medium</v>
      </c>
      <c r="P8" s="15" t="str">
        <f t="shared" si="4"/>
        <v>Parents</v>
      </c>
      <c r="Q8" s="17" cm="1">
        <f t="array" ref="Q8">_xlfn.IFS(J8="Bachelor",1,
J8="Master",2,
J8="PhD",3)</f>
        <v>2</v>
      </c>
    </row>
    <row r="9" spans="1:17" x14ac:dyDescent="0.25">
      <c r="A9" s="14">
        <v>108</v>
      </c>
      <c r="B9" s="15" t="s">
        <v>28</v>
      </c>
      <c r="C9" s="15" t="s">
        <v>42</v>
      </c>
      <c r="D9" s="15" t="s">
        <v>43</v>
      </c>
      <c r="E9" s="16">
        <v>31998</v>
      </c>
      <c r="F9" s="15" t="s">
        <v>21</v>
      </c>
      <c r="G9" s="15" t="s">
        <v>44</v>
      </c>
      <c r="H9" s="15">
        <v>72000</v>
      </c>
      <c r="I9" s="15">
        <v>1</v>
      </c>
      <c r="J9" s="15" t="s">
        <v>16</v>
      </c>
      <c r="K9" s="15" t="s">
        <v>17</v>
      </c>
      <c r="L9" s="15" t="str">
        <f t="shared" si="0"/>
        <v>Single</v>
      </c>
      <c r="M9" s="15" t="str">
        <f t="shared" si="1"/>
        <v>Mrs Isha Kapoor</v>
      </c>
      <c r="N9" s="15">
        <f t="shared" ca="1" si="2"/>
        <v>38</v>
      </c>
      <c r="O9" s="15" t="str">
        <f t="shared" si="3"/>
        <v>Medium</v>
      </c>
      <c r="P9" s="15" t="str">
        <f t="shared" si="4"/>
        <v>Non Parents</v>
      </c>
      <c r="Q9" s="17" cm="1">
        <f t="array" ref="Q9">_xlfn.IFS(J9="Bachelor",1,
J9="Master",2,
J9="PhD",3)</f>
        <v>1</v>
      </c>
    </row>
    <row r="10" spans="1:17" x14ac:dyDescent="0.25">
      <c r="A10" s="14">
        <v>109</v>
      </c>
      <c r="B10" s="15" t="s">
        <v>11</v>
      </c>
      <c r="C10" s="15" t="s">
        <v>45</v>
      </c>
      <c r="D10" s="15" t="s">
        <v>46</v>
      </c>
      <c r="E10" s="16">
        <v>28532</v>
      </c>
      <c r="F10" s="15" t="s">
        <v>14</v>
      </c>
      <c r="G10" s="15" t="s">
        <v>47</v>
      </c>
      <c r="H10" s="15">
        <v>91000</v>
      </c>
      <c r="I10" s="15">
        <v>3</v>
      </c>
      <c r="J10" s="15" t="s">
        <v>23</v>
      </c>
      <c r="K10" s="15" t="s">
        <v>17</v>
      </c>
      <c r="L10" s="15" t="str">
        <f t="shared" si="0"/>
        <v>Married</v>
      </c>
      <c r="M10" s="15" t="str">
        <f t="shared" si="1"/>
        <v>Mr Rajesh Agarwal</v>
      </c>
      <c r="N10" s="15">
        <f t="shared" ca="1" si="2"/>
        <v>48</v>
      </c>
      <c r="O10" s="15" t="str">
        <f t="shared" si="3"/>
        <v>High</v>
      </c>
      <c r="P10" s="15" t="str">
        <f t="shared" si="4"/>
        <v>Parents</v>
      </c>
      <c r="Q10" s="17" cm="1">
        <f t="array" ref="Q10">_xlfn.IFS(J10="Bachelor",1,
J10="Master",2,
J10="PhD",3)</f>
        <v>2</v>
      </c>
    </row>
    <row r="11" spans="1:17" x14ac:dyDescent="0.25">
      <c r="A11" s="14">
        <v>110</v>
      </c>
      <c r="B11" s="15" t="s">
        <v>18</v>
      </c>
      <c r="C11" s="15" t="s">
        <v>48</v>
      </c>
      <c r="D11" s="15" t="s">
        <v>49</v>
      </c>
      <c r="E11" s="16">
        <v>33414</v>
      </c>
      <c r="F11" s="15" t="s">
        <v>21</v>
      </c>
      <c r="G11" s="15" t="s">
        <v>50</v>
      </c>
      <c r="H11" s="15">
        <v>63000</v>
      </c>
      <c r="I11" s="15">
        <v>0</v>
      </c>
      <c r="J11" s="15" t="s">
        <v>16</v>
      </c>
      <c r="K11" s="15" t="s">
        <v>24</v>
      </c>
      <c r="L11" s="15" t="str">
        <f t="shared" si="0"/>
        <v>Single</v>
      </c>
      <c r="M11" s="15" t="str">
        <f t="shared" si="1"/>
        <v>Ms Sneha Jain</v>
      </c>
      <c r="N11" s="15">
        <f t="shared" ca="1" si="2"/>
        <v>34</v>
      </c>
      <c r="O11" s="15" t="str">
        <f t="shared" si="3"/>
        <v>Medium</v>
      </c>
      <c r="P11" s="15" t="str">
        <f t="shared" si="4"/>
        <v>Non Parents</v>
      </c>
      <c r="Q11" s="17" cm="1">
        <f t="array" ref="Q11">_xlfn.IFS(J11="Bachelor",1,
J11="Master",2,
J11="PhD",3)</f>
        <v>1</v>
      </c>
    </row>
    <row r="12" spans="1:17" x14ac:dyDescent="0.25">
      <c r="A12" s="14">
        <v>111</v>
      </c>
      <c r="B12" s="15" t="s">
        <v>11</v>
      </c>
      <c r="C12" s="15" t="s">
        <v>51</v>
      </c>
      <c r="D12" s="15" t="s">
        <v>52</v>
      </c>
      <c r="E12" s="16">
        <v>31323</v>
      </c>
      <c r="F12" s="15" t="s">
        <v>14</v>
      </c>
      <c r="G12" s="15" t="s">
        <v>53</v>
      </c>
      <c r="H12" s="15">
        <v>81000</v>
      </c>
      <c r="I12" s="15">
        <v>2</v>
      </c>
      <c r="J12" s="15" t="s">
        <v>16</v>
      </c>
      <c r="K12" s="15" t="s">
        <v>17</v>
      </c>
      <c r="L12" s="15" t="str">
        <f t="shared" si="0"/>
        <v>Married</v>
      </c>
      <c r="M12" s="15" t="str">
        <f t="shared" si="1"/>
        <v>Mr Amit Bansal</v>
      </c>
      <c r="N12" s="15">
        <f t="shared" ca="1" si="2"/>
        <v>40</v>
      </c>
      <c r="O12" s="15" t="str">
        <f t="shared" si="3"/>
        <v>Medium</v>
      </c>
      <c r="P12" s="15" t="str">
        <f t="shared" si="4"/>
        <v>Parents</v>
      </c>
      <c r="Q12" s="17" cm="1">
        <f t="array" ref="Q12">_xlfn.IFS(J12="Bachelor",1,
J12="Master",2,
J12="PhD",3)</f>
        <v>1</v>
      </c>
    </row>
    <row r="13" spans="1:17" x14ac:dyDescent="0.25">
      <c r="A13" s="14">
        <v>112</v>
      </c>
      <c r="B13" s="15" t="s">
        <v>28</v>
      </c>
      <c r="C13" s="15" t="s">
        <v>54</v>
      </c>
      <c r="D13" s="15" t="s">
        <v>55</v>
      </c>
      <c r="E13" s="16">
        <v>32859</v>
      </c>
      <c r="F13" s="15" t="s">
        <v>21</v>
      </c>
      <c r="G13" s="15" t="s">
        <v>56</v>
      </c>
      <c r="H13" s="15">
        <v>70000</v>
      </c>
      <c r="I13" s="15">
        <v>1</v>
      </c>
      <c r="J13" s="15" t="s">
        <v>23</v>
      </c>
      <c r="K13" s="15" t="s">
        <v>17</v>
      </c>
      <c r="L13" s="15" t="str">
        <f t="shared" si="0"/>
        <v>Single</v>
      </c>
      <c r="M13" s="15" t="str">
        <f t="shared" si="1"/>
        <v>Mrs Pooja Saxena</v>
      </c>
      <c r="N13" s="15">
        <f t="shared" ca="1" si="2"/>
        <v>36</v>
      </c>
      <c r="O13" s="15" t="str">
        <f t="shared" si="3"/>
        <v>Medium</v>
      </c>
      <c r="P13" s="15" t="str">
        <f t="shared" si="4"/>
        <v>Non Parents</v>
      </c>
      <c r="Q13" s="17" cm="1">
        <f t="array" ref="Q13">_xlfn.IFS(J13="Bachelor",1,
J13="Master",2,
J13="PhD",3)</f>
        <v>2</v>
      </c>
    </row>
    <row r="14" spans="1:17" x14ac:dyDescent="0.25">
      <c r="A14" s="14">
        <v>113</v>
      </c>
      <c r="B14" s="15" t="s">
        <v>11</v>
      </c>
      <c r="C14" s="15" t="s">
        <v>57</v>
      </c>
      <c r="D14" s="15" t="s">
        <v>58</v>
      </c>
      <c r="E14" s="16">
        <v>30040</v>
      </c>
      <c r="F14" s="15" t="s">
        <v>14</v>
      </c>
      <c r="G14" s="15" t="s">
        <v>59</v>
      </c>
      <c r="H14" s="15">
        <v>87000</v>
      </c>
      <c r="I14" s="15">
        <v>2</v>
      </c>
      <c r="J14" s="15" t="s">
        <v>23</v>
      </c>
      <c r="K14" s="15" t="s">
        <v>17</v>
      </c>
      <c r="L14" s="15" t="str">
        <f t="shared" si="0"/>
        <v>Married</v>
      </c>
      <c r="M14" s="15" t="str">
        <f t="shared" si="1"/>
        <v>Mr Manish Arora</v>
      </c>
      <c r="N14" s="15">
        <f t="shared" ca="1" si="2"/>
        <v>44</v>
      </c>
      <c r="O14" s="15" t="str">
        <f t="shared" si="3"/>
        <v>High</v>
      </c>
      <c r="P14" s="15" t="str">
        <f t="shared" si="4"/>
        <v>Parents</v>
      </c>
      <c r="Q14" s="17" cm="1">
        <f t="array" ref="Q14">_xlfn.IFS(J14="Bachelor",1,
J14="Master",2,
J14="PhD",3)</f>
        <v>2</v>
      </c>
    </row>
    <row r="15" spans="1:17" x14ac:dyDescent="0.25">
      <c r="A15" s="14">
        <v>114</v>
      </c>
      <c r="B15" s="15" t="s">
        <v>18</v>
      </c>
      <c r="C15" s="15" t="s">
        <v>60</v>
      </c>
      <c r="D15" s="15" t="s">
        <v>61</v>
      </c>
      <c r="E15" s="16">
        <v>34169</v>
      </c>
      <c r="F15" s="15" t="s">
        <v>21</v>
      </c>
      <c r="G15" s="15" t="s">
        <v>62</v>
      </c>
      <c r="H15" s="15">
        <v>62000</v>
      </c>
      <c r="I15" s="15">
        <v>0</v>
      </c>
      <c r="J15" s="15" t="s">
        <v>16</v>
      </c>
      <c r="K15" s="15" t="s">
        <v>24</v>
      </c>
      <c r="L15" s="15" t="str">
        <f t="shared" si="0"/>
        <v>Single</v>
      </c>
      <c r="M15" s="15" t="str">
        <f t="shared" si="1"/>
        <v>Ms Ritu Tiwari</v>
      </c>
      <c r="N15" s="15">
        <f t="shared" ca="1" si="2"/>
        <v>32</v>
      </c>
      <c r="O15" s="15" t="str">
        <f t="shared" si="3"/>
        <v>Medium</v>
      </c>
      <c r="P15" s="15" t="str">
        <f t="shared" si="4"/>
        <v>Non Parents</v>
      </c>
      <c r="Q15" s="17" cm="1">
        <f t="array" ref="Q15">_xlfn.IFS(J15="Bachelor",1,
J15="Master",2,
J15="PhD",3)</f>
        <v>1</v>
      </c>
    </row>
    <row r="16" spans="1:17" x14ac:dyDescent="0.25">
      <c r="A16" s="14">
        <v>115</v>
      </c>
      <c r="B16" s="15" t="s">
        <v>11</v>
      </c>
      <c r="C16" s="15" t="s">
        <v>63</v>
      </c>
      <c r="D16" s="15" t="s">
        <v>64</v>
      </c>
      <c r="E16" s="16">
        <v>29247</v>
      </c>
      <c r="F16" s="15" t="s">
        <v>14</v>
      </c>
      <c r="G16" s="15" t="s">
        <v>65</v>
      </c>
      <c r="H16" s="15">
        <v>93000</v>
      </c>
      <c r="I16" s="15">
        <v>3</v>
      </c>
      <c r="J16" s="15" t="s">
        <v>35</v>
      </c>
      <c r="K16" s="15" t="s">
        <v>17</v>
      </c>
      <c r="L16" s="15" t="str">
        <f t="shared" si="0"/>
        <v>Married</v>
      </c>
      <c r="M16" s="15" t="str">
        <f t="shared" si="1"/>
        <v>Mr Sandeep Yadav</v>
      </c>
      <c r="N16" s="15">
        <f t="shared" ca="1" si="2"/>
        <v>46</v>
      </c>
      <c r="O16" s="15" t="str">
        <f t="shared" si="3"/>
        <v>High</v>
      </c>
      <c r="P16" s="15" t="str">
        <f t="shared" si="4"/>
        <v>Parents</v>
      </c>
      <c r="Q16" s="17" cm="1">
        <f t="array" ref="Q16">_xlfn.IFS(J16="Bachelor",1,
J16="Master",2,
J16="PhD",3)</f>
        <v>3</v>
      </c>
    </row>
    <row r="17" spans="1:17" x14ac:dyDescent="0.25">
      <c r="A17" s="14">
        <v>116</v>
      </c>
      <c r="B17" s="15" t="s">
        <v>28</v>
      </c>
      <c r="C17" s="15" t="s">
        <v>66</v>
      </c>
      <c r="D17" s="15" t="s">
        <v>67</v>
      </c>
      <c r="E17" s="16">
        <v>32240</v>
      </c>
      <c r="F17" s="15" t="s">
        <v>21</v>
      </c>
      <c r="G17" s="15" t="s">
        <v>68</v>
      </c>
      <c r="H17" s="15">
        <v>75000</v>
      </c>
      <c r="I17" s="15">
        <v>2</v>
      </c>
      <c r="J17" s="15" t="s">
        <v>23</v>
      </c>
      <c r="K17" s="15" t="s">
        <v>17</v>
      </c>
      <c r="L17" s="15" t="str">
        <f t="shared" si="0"/>
        <v>Married</v>
      </c>
      <c r="M17" s="15" t="str">
        <f t="shared" si="1"/>
        <v>Mrs Divya Mishra</v>
      </c>
      <c r="N17" s="15">
        <f t="shared" ca="1" si="2"/>
        <v>38</v>
      </c>
      <c r="O17" s="15" t="str">
        <f t="shared" si="3"/>
        <v>Medium</v>
      </c>
      <c r="P17" s="15" t="str">
        <f t="shared" si="4"/>
        <v>Parents</v>
      </c>
      <c r="Q17" s="17" cm="1">
        <f t="array" ref="Q17">_xlfn.IFS(J17="Bachelor",1,
J17="Master",2,
J17="PhD",3)</f>
        <v>2</v>
      </c>
    </row>
    <row r="18" spans="1:17" x14ac:dyDescent="0.25">
      <c r="A18" s="14">
        <v>117</v>
      </c>
      <c r="B18" s="15" t="s">
        <v>11</v>
      </c>
      <c r="C18" s="15" t="s">
        <v>69</v>
      </c>
      <c r="D18" s="15" t="s">
        <v>70</v>
      </c>
      <c r="E18" s="16">
        <v>30938</v>
      </c>
      <c r="F18" s="15" t="s">
        <v>14</v>
      </c>
      <c r="G18" s="15" t="s">
        <v>71</v>
      </c>
      <c r="H18" s="15">
        <v>85000</v>
      </c>
      <c r="I18" s="15">
        <v>2</v>
      </c>
      <c r="J18" s="15" t="s">
        <v>16</v>
      </c>
      <c r="K18" s="15" t="s">
        <v>17</v>
      </c>
      <c r="L18" s="15" t="str">
        <f t="shared" si="0"/>
        <v>Married</v>
      </c>
      <c r="M18" s="15" t="str">
        <f t="shared" si="1"/>
        <v>Mr Nitin Chopra</v>
      </c>
      <c r="N18" s="15">
        <f t="shared" ca="1" si="2"/>
        <v>41</v>
      </c>
      <c r="O18" s="15" t="str">
        <f t="shared" si="3"/>
        <v>High</v>
      </c>
      <c r="P18" s="15" t="str">
        <f t="shared" si="4"/>
        <v>Parents</v>
      </c>
      <c r="Q18" s="17" cm="1">
        <f t="array" ref="Q18">_xlfn.IFS(J18="Bachelor",1,
J18="Master",2,
J18="PhD",3)</f>
        <v>1</v>
      </c>
    </row>
    <row r="19" spans="1:17" x14ac:dyDescent="0.25">
      <c r="A19" s="14">
        <v>118</v>
      </c>
      <c r="B19" s="15" t="s">
        <v>18</v>
      </c>
      <c r="C19" s="15" t="s">
        <v>72</v>
      </c>
      <c r="D19" s="15" t="s">
        <v>73</v>
      </c>
      <c r="E19" s="16">
        <v>34752</v>
      </c>
      <c r="F19" s="15" t="s">
        <v>21</v>
      </c>
      <c r="G19" s="15" t="s">
        <v>74</v>
      </c>
      <c r="H19" s="15">
        <v>59000</v>
      </c>
      <c r="I19" s="15">
        <v>0</v>
      </c>
      <c r="J19" s="15" t="s">
        <v>16</v>
      </c>
      <c r="K19" s="15" t="s">
        <v>24</v>
      </c>
      <c r="L19" s="15" t="str">
        <f t="shared" si="0"/>
        <v>Single</v>
      </c>
      <c r="M19" s="15" t="str">
        <f t="shared" si="1"/>
        <v>Ms Kavya Sethi</v>
      </c>
      <c r="N19" s="15">
        <f t="shared" ca="1" si="2"/>
        <v>31</v>
      </c>
      <c r="O19" s="15" t="str">
        <f t="shared" si="3"/>
        <v>Low</v>
      </c>
      <c r="P19" s="15" t="str">
        <f t="shared" si="4"/>
        <v>Non Parents</v>
      </c>
      <c r="Q19" s="17" cm="1">
        <f t="array" ref="Q19">_xlfn.IFS(J19="Bachelor",1,
J19="Master",2,
J19="PhD",3)</f>
        <v>1</v>
      </c>
    </row>
    <row r="20" spans="1:17" x14ac:dyDescent="0.25">
      <c r="A20" s="14">
        <v>119</v>
      </c>
      <c r="B20" s="15" t="s">
        <v>11</v>
      </c>
      <c r="C20" s="15" t="s">
        <v>75</v>
      </c>
      <c r="D20" s="15" t="s">
        <v>76</v>
      </c>
      <c r="E20" s="16">
        <v>29896</v>
      </c>
      <c r="F20" s="15" t="s">
        <v>14</v>
      </c>
      <c r="G20" s="15" t="s">
        <v>77</v>
      </c>
      <c r="H20" s="15">
        <v>90000</v>
      </c>
      <c r="I20" s="15">
        <v>3</v>
      </c>
      <c r="J20" s="15" t="s">
        <v>23</v>
      </c>
      <c r="K20" s="15" t="s">
        <v>17</v>
      </c>
      <c r="L20" s="15" t="str">
        <f t="shared" si="0"/>
        <v>Married</v>
      </c>
      <c r="M20" s="15" t="str">
        <f t="shared" si="1"/>
        <v>Mr Rahul Khanna</v>
      </c>
      <c r="N20" s="15">
        <f t="shared" ca="1" si="2"/>
        <v>44</v>
      </c>
      <c r="O20" s="15" t="str">
        <f t="shared" si="3"/>
        <v>High</v>
      </c>
      <c r="P20" s="15" t="str">
        <f t="shared" si="4"/>
        <v>Parents</v>
      </c>
      <c r="Q20" s="17" cm="1">
        <f t="array" ref="Q20">_xlfn.IFS(J20="Bachelor",1,
J20="Master",2,
J20="PhD",3)</f>
        <v>2</v>
      </c>
    </row>
    <row r="21" spans="1:17" x14ac:dyDescent="0.25">
      <c r="A21" s="14">
        <v>120</v>
      </c>
      <c r="B21" s="15" t="s">
        <v>28</v>
      </c>
      <c r="C21" s="15" t="s">
        <v>78</v>
      </c>
      <c r="D21" s="15" t="s">
        <v>79</v>
      </c>
      <c r="E21" s="16">
        <v>31943</v>
      </c>
      <c r="F21" s="15" t="s">
        <v>21</v>
      </c>
      <c r="G21" s="15" t="s">
        <v>80</v>
      </c>
      <c r="H21" s="15">
        <v>73000</v>
      </c>
      <c r="I21" s="15">
        <v>1</v>
      </c>
      <c r="J21" s="15" t="s">
        <v>16</v>
      </c>
      <c r="K21" s="15" t="s">
        <v>17</v>
      </c>
      <c r="L21" s="15" t="str">
        <f t="shared" si="0"/>
        <v>Single</v>
      </c>
      <c r="M21" s="15" t="str">
        <f t="shared" si="1"/>
        <v>Mrs Megha Rana</v>
      </c>
      <c r="N21" s="15">
        <f t="shared" ca="1" si="2"/>
        <v>38</v>
      </c>
      <c r="O21" s="15" t="str">
        <f t="shared" si="3"/>
        <v>Medium</v>
      </c>
      <c r="P21" s="15" t="str">
        <f t="shared" si="4"/>
        <v>Non Parents</v>
      </c>
      <c r="Q21" s="17" cm="1">
        <f t="array" ref="Q21">_xlfn.IFS(J21="Bachelor",1,
J21="Master",2,
J21="PhD",3)</f>
        <v>1</v>
      </c>
    </row>
    <row r="22" spans="1:17" x14ac:dyDescent="0.25">
      <c r="A22" s="14">
        <v>121</v>
      </c>
      <c r="B22" s="15" t="s">
        <v>11</v>
      </c>
      <c r="C22" s="15" t="s">
        <v>81</v>
      </c>
      <c r="D22" s="15" t="s">
        <v>82</v>
      </c>
      <c r="E22" s="16">
        <v>30447</v>
      </c>
      <c r="F22" s="15" t="s">
        <v>14</v>
      </c>
      <c r="G22" s="15" t="s">
        <v>83</v>
      </c>
      <c r="H22" s="15">
        <v>86000</v>
      </c>
      <c r="I22" s="15">
        <v>2</v>
      </c>
      <c r="J22" s="15" t="s">
        <v>23</v>
      </c>
      <c r="K22" s="15" t="s">
        <v>17</v>
      </c>
      <c r="L22" s="15" t="str">
        <f t="shared" si="0"/>
        <v>Married</v>
      </c>
      <c r="M22" s="15" t="str">
        <f t="shared" si="1"/>
        <v>Mr Deepak Singhal</v>
      </c>
      <c r="N22" s="15">
        <f t="shared" ca="1" si="2"/>
        <v>43</v>
      </c>
      <c r="O22" s="15" t="str">
        <f t="shared" si="3"/>
        <v>High</v>
      </c>
      <c r="P22" s="15" t="str">
        <f t="shared" si="4"/>
        <v>Parents</v>
      </c>
      <c r="Q22" s="17" cm="1">
        <f t="array" ref="Q22">_xlfn.IFS(J22="Bachelor",1,
J22="Master",2,
J22="PhD",3)</f>
        <v>2</v>
      </c>
    </row>
    <row r="23" spans="1:17" x14ac:dyDescent="0.25">
      <c r="A23" s="14">
        <v>122</v>
      </c>
      <c r="B23" s="15" t="s">
        <v>18</v>
      </c>
      <c r="C23" s="15" t="s">
        <v>84</v>
      </c>
      <c r="D23" s="15" t="s">
        <v>85</v>
      </c>
      <c r="E23" s="16">
        <v>33844</v>
      </c>
      <c r="F23" s="15" t="s">
        <v>21</v>
      </c>
      <c r="G23" s="15" t="s">
        <v>86</v>
      </c>
      <c r="H23" s="15">
        <v>61000</v>
      </c>
      <c r="I23" s="15">
        <v>0</v>
      </c>
      <c r="J23" s="15" t="s">
        <v>16</v>
      </c>
      <c r="K23" s="15" t="s">
        <v>24</v>
      </c>
      <c r="L23" s="15" t="str">
        <f t="shared" si="0"/>
        <v>Single</v>
      </c>
      <c r="M23" s="15" t="str">
        <f t="shared" si="1"/>
        <v>Ms Nidhi Garg</v>
      </c>
      <c r="N23" s="15">
        <f t="shared" ca="1" si="2"/>
        <v>33</v>
      </c>
      <c r="O23" s="15" t="str">
        <f t="shared" si="3"/>
        <v>Medium</v>
      </c>
      <c r="P23" s="15" t="str">
        <f t="shared" si="4"/>
        <v>Non Parents</v>
      </c>
      <c r="Q23" s="17" cm="1">
        <f t="array" ref="Q23">_xlfn.IFS(J23="Bachelor",1,
J23="Master",2,
J23="PhD",3)</f>
        <v>1</v>
      </c>
    </row>
    <row r="24" spans="1:17" x14ac:dyDescent="0.25">
      <c r="A24" s="14">
        <v>123</v>
      </c>
      <c r="B24" s="15" t="s">
        <v>11</v>
      </c>
      <c r="C24" s="15" t="s">
        <v>87</v>
      </c>
      <c r="D24" s="15" t="s">
        <v>88</v>
      </c>
      <c r="E24" s="16">
        <v>29191</v>
      </c>
      <c r="F24" s="15" t="s">
        <v>14</v>
      </c>
      <c r="G24" s="15" t="s">
        <v>89</v>
      </c>
      <c r="H24" s="15">
        <v>95000</v>
      </c>
      <c r="I24" s="15">
        <v>4</v>
      </c>
      <c r="J24" s="15" t="s">
        <v>35</v>
      </c>
      <c r="K24" s="15" t="s">
        <v>17</v>
      </c>
      <c r="L24" s="15" t="str">
        <f t="shared" si="0"/>
        <v>Married</v>
      </c>
      <c r="M24" s="15" t="str">
        <f t="shared" si="1"/>
        <v>Mr Hemant Joshi</v>
      </c>
      <c r="N24" s="15">
        <f t="shared" ca="1" si="2"/>
        <v>46</v>
      </c>
      <c r="O24" s="15" t="str">
        <f t="shared" si="3"/>
        <v>High</v>
      </c>
      <c r="P24" s="15" t="str">
        <f t="shared" si="4"/>
        <v>Parents</v>
      </c>
      <c r="Q24" s="17" cm="1">
        <f t="array" ref="Q24">_xlfn.IFS(J24="Bachelor",1,
J24="Master",2,
J24="PhD",3)</f>
        <v>3</v>
      </c>
    </row>
    <row r="25" spans="1:17" x14ac:dyDescent="0.25">
      <c r="A25" s="14">
        <v>124</v>
      </c>
      <c r="B25" s="15" t="s">
        <v>28</v>
      </c>
      <c r="C25" s="15" t="s">
        <v>90</v>
      </c>
      <c r="D25" s="15" t="s">
        <v>91</v>
      </c>
      <c r="E25" s="16">
        <v>32437</v>
      </c>
      <c r="F25" s="15" t="s">
        <v>21</v>
      </c>
      <c r="G25" s="15" t="s">
        <v>92</v>
      </c>
      <c r="H25" s="15">
        <v>71000</v>
      </c>
      <c r="I25" s="15">
        <v>1</v>
      </c>
      <c r="J25" s="15" t="s">
        <v>23</v>
      </c>
      <c r="K25" s="15" t="s">
        <v>17</v>
      </c>
      <c r="L25" s="15" t="str">
        <f t="shared" si="0"/>
        <v>Single</v>
      </c>
      <c r="M25" s="15" t="str">
        <f t="shared" si="1"/>
        <v>Mrs Tanya Bhatt</v>
      </c>
      <c r="N25" s="15">
        <f t="shared" ca="1" si="2"/>
        <v>37</v>
      </c>
      <c r="O25" s="15" t="str">
        <f t="shared" si="3"/>
        <v>Medium</v>
      </c>
      <c r="P25" s="15" t="str">
        <f t="shared" si="4"/>
        <v>Non Parents</v>
      </c>
      <c r="Q25" s="17" cm="1">
        <f t="array" ref="Q25">_xlfn.IFS(J25="Bachelor",1,
J25="Master",2,
J25="PhD",3)</f>
        <v>2</v>
      </c>
    </row>
    <row r="26" spans="1:17" x14ac:dyDescent="0.25">
      <c r="A26" s="14">
        <v>125</v>
      </c>
      <c r="B26" s="15" t="s">
        <v>11</v>
      </c>
      <c r="C26" s="15" t="s">
        <v>93</v>
      </c>
      <c r="D26" s="15" t="s">
        <v>94</v>
      </c>
      <c r="E26" s="16">
        <v>30746</v>
      </c>
      <c r="F26" s="15" t="s">
        <v>14</v>
      </c>
      <c r="G26" s="15" t="s">
        <v>95</v>
      </c>
      <c r="H26" s="15">
        <v>83000</v>
      </c>
      <c r="I26" s="15">
        <v>2</v>
      </c>
      <c r="J26" s="15" t="s">
        <v>16</v>
      </c>
      <c r="K26" s="15" t="s">
        <v>17</v>
      </c>
      <c r="L26" s="15" t="str">
        <f t="shared" si="0"/>
        <v>Married</v>
      </c>
      <c r="M26" s="15" t="str">
        <f t="shared" si="1"/>
        <v>Mr Abhishek Srivastava</v>
      </c>
      <c r="N26" s="15">
        <f t="shared" ca="1" si="2"/>
        <v>42</v>
      </c>
      <c r="O26" s="15" t="str">
        <f t="shared" si="3"/>
        <v>Medium</v>
      </c>
      <c r="P26" s="15" t="str">
        <f t="shared" si="4"/>
        <v>Parents</v>
      </c>
      <c r="Q26" s="17" cm="1">
        <f t="array" ref="Q26">_xlfn.IFS(J26="Bachelor",1,
J26="Master",2,
J26="PhD",3)</f>
        <v>1</v>
      </c>
    </row>
    <row r="27" spans="1:17" x14ac:dyDescent="0.25">
      <c r="A27" s="14">
        <v>126</v>
      </c>
      <c r="B27" s="15" t="s">
        <v>18</v>
      </c>
      <c r="C27" s="15" t="s">
        <v>96</v>
      </c>
      <c r="D27" s="15" t="s">
        <v>97</v>
      </c>
      <c r="E27" s="16">
        <v>34352</v>
      </c>
      <c r="F27" s="15" t="s">
        <v>21</v>
      </c>
      <c r="G27" s="15" t="s">
        <v>98</v>
      </c>
      <c r="H27" s="15">
        <v>60000</v>
      </c>
      <c r="I27" s="15">
        <v>0</v>
      </c>
      <c r="J27" s="15" t="s">
        <v>16</v>
      </c>
      <c r="K27" s="15" t="s">
        <v>24</v>
      </c>
      <c r="L27" s="15" t="str">
        <f t="shared" si="0"/>
        <v>Single</v>
      </c>
      <c r="M27" s="15" t="str">
        <f t="shared" si="1"/>
        <v>Ms Shreya Nair</v>
      </c>
      <c r="N27" s="15">
        <f t="shared" ca="1" si="2"/>
        <v>32</v>
      </c>
      <c r="O27" s="15" t="str">
        <f t="shared" si="3"/>
        <v>Medium</v>
      </c>
      <c r="P27" s="15" t="str">
        <f t="shared" si="4"/>
        <v>Non Parents</v>
      </c>
      <c r="Q27" s="17" cm="1">
        <f t="array" ref="Q27">_xlfn.IFS(J27="Bachelor",1,
J27="Master",2,
J27="PhD",3)</f>
        <v>1</v>
      </c>
    </row>
    <row r="28" spans="1:17" x14ac:dyDescent="0.25">
      <c r="A28" s="14">
        <v>127</v>
      </c>
      <c r="B28" s="15" t="s">
        <v>11</v>
      </c>
      <c r="C28" s="15" t="s">
        <v>99</v>
      </c>
      <c r="D28" s="15" t="s">
        <v>100</v>
      </c>
      <c r="E28" s="16">
        <v>30146</v>
      </c>
      <c r="F28" s="15" t="s">
        <v>14</v>
      </c>
      <c r="G28" s="15" t="s">
        <v>101</v>
      </c>
      <c r="H28" s="15">
        <v>88000</v>
      </c>
      <c r="I28" s="15">
        <v>3</v>
      </c>
      <c r="J28" s="15" t="s">
        <v>23</v>
      </c>
      <c r="K28" s="15" t="s">
        <v>17</v>
      </c>
      <c r="L28" s="15" t="str">
        <f t="shared" si="0"/>
        <v>Married</v>
      </c>
      <c r="M28" s="15" t="str">
        <f t="shared" si="1"/>
        <v>Mr Gaurav Menon</v>
      </c>
      <c r="N28" s="15">
        <f t="shared" ca="1" si="2"/>
        <v>43</v>
      </c>
      <c r="O28" s="15" t="str">
        <f t="shared" si="3"/>
        <v>High</v>
      </c>
      <c r="P28" s="15" t="str">
        <f t="shared" si="4"/>
        <v>Parents</v>
      </c>
      <c r="Q28" s="17" cm="1">
        <f t="array" ref="Q28">_xlfn.IFS(J28="Bachelor",1,
J28="Master",2,
J28="PhD",3)</f>
        <v>2</v>
      </c>
    </row>
    <row r="29" spans="1:17" x14ac:dyDescent="0.25">
      <c r="A29" s="14">
        <v>128</v>
      </c>
      <c r="B29" s="15" t="s">
        <v>28</v>
      </c>
      <c r="C29" s="15" t="s">
        <v>102</v>
      </c>
      <c r="D29" s="15" t="s">
        <v>103</v>
      </c>
      <c r="E29" s="16">
        <v>32657</v>
      </c>
      <c r="F29" s="15" t="s">
        <v>21</v>
      </c>
      <c r="G29" s="15" t="s">
        <v>104</v>
      </c>
      <c r="H29" s="15">
        <v>74000</v>
      </c>
      <c r="I29" s="15">
        <v>2</v>
      </c>
      <c r="J29" s="15" t="s">
        <v>23</v>
      </c>
      <c r="K29" s="15" t="s">
        <v>17</v>
      </c>
      <c r="L29" s="15" t="str">
        <f t="shared" si="0"/>
        <v>Married</v>
      </c>
      <c r="M29" s="15" t="str">
        <f t="shared" si="1"/>
        <v>Mrs Payal Reddy</v>
      </c>
      <c r="N29" s="15">
        <f t="shared" ca="1" si="2"/>
        <v>37</v>
      </c>
      <c r="O29" s="15" t="str">
        <f t="shared" si="3"/>
        <v>Medium</v>
      </c>
      <c r="P29" s="15" t="str">
        <f t="shared" si="4"/>
        <v>Parents</v>
      </c>
      <c r="Q29" s="17" cm="1">
        <f t="array" ref="Q29">_xlfn.IFS(J29="Bachelor",1,
J29="Master",2,
J29="PhD",3)</f>
        <v>2</v>
      </c>
    </row>
    <row r="30" spans="1:17" x14ac:dyDescent="0.25">
      <c r="A30" s="14">
        <v>129</v>
      </c>
      <c r="B30" s="15" t="s">
        <v>11</v>
      </c>
      <c r="C30" s="15" t="s">
        <v>105</v>
      </c>
      <c r="D30" s="15" t="s">
        <v>106</v>
      </c>
      <c r="E30" s="16">
        <v>29472</v>
      </c>
      <c r="F30" s="15" t="s">
        <v>14</v>
      </c>
      <c r="G30" s="15" t="s">
        <v>107</v>
      </c>
      <c r="H30" s="15">
        <v>92000</v>
      </c>
      <c r="I30" s="15">
        <v>2</v>
      </c>
      <c r="J30" s="15" t="s">
        <v>35</v>
      </c>
      <c r="K30" s="15" t="s">
        <v>17</v>
      </c>
      <c r="L30" s="15" t="str">
        <f t="shared" si="0"/>
        <v>Married</v>
      </c>
      <c r="M30" s="15" t="str">
        <f t="shared" si="1"/>
        <v>Mr Harsh Vora</v>
      </c>
      <c r="N30" s="15">
        <f t="shared" ca="1" si="2"/>
        <v>45</v>
      </c>
      <c r="O30" s="15" t="str">
        <f t="shared" si="3"/>
        <v>High</v>
      </c>
      <c r="P30" s="15" t="str">
        <f t="shared" si="4"/>
        <v>Parents</v>
      </c>
      <c r="Q30" s="17" cm="1">
        <f t="array" ref="Q30">_xlfn.IFS(J30="Bachelor",1,
J30="Master",2,
J30="PhD",3)</f>
        <v>3</v>
      </c>
    </row>
    <row r="31" spans="1:17" x14ac:dyDescent="0.25">
      <c r="A31" s="14">
        <v>130</v>
      </c>
      <c r="B31" s="15" t="s">
        <v>18</v>
      </c>
      <c r="C31" s="15" t="s">
        <v>108</v>
      </c>
      <c r="D31" s="15" t="s">
        <v>109</v>
      </c>
      <c r="E31" s="16">
        <v>34086</v>
      </c>
      <c r="F31" s="15" t="s">
        <v>21</v>
      </c>
      <c r="G31" s="15" t="s">
        <v>110</v>
      </c>
      <c r="H31" s="15">
        <v>62000</v>
      </c>
      <c r="I31" s="15">
        <v>0</v>
      </c>
      <c r="J31" s="15" t="s">
        <v>16</v>
      </c>
      <c r="K31" s="15" t="s">
        <v>24</v>
      </c>
      <c r="L31" s="15" t="str">
        <f t="shared" si="0"/>
        <v>Single</v>
      </c>
      <c r="M31" s="15" t="str">
        <f t="shared" si="1"/>
        <v>Ms Aarti Desai</v>
      </c>
      <c r="N31" s="15">
        <f t="shared" ca="1" si="2"/>
        <v>33</v>
      </c>
      <c r="O31" s="15" t="str">
        <f t="shared" si="3"/>
        <v>Medium</v>
      </c>
      <c r="P31" s="15" t="str">
        <f t="shared" si="4"/>
        <v>Non Parents</v>
      </c>
      <c r="Q31" s="17" cm="1">
        <f t="array" ref="Q31">_xlfn.IFS(J31="Bachelor",1,
J31="Master",2,
J31="PhD",3)</f>
        <v>1</v>
      </c>
    </row>
    <row r="32" spans="1:17" x14ac:dyDescent="0.25">
      <c r="A32" s="14">
        <v>131</v>
      </c>
      <c r="B32" s="15" t="s">
        <v>11</v>
      </c>
      <c r="C32" s="15" t="s">
        <v>111</v>
      </c>
      <c r="D32" s="15" t="s">
        <v>112</v>
      </c>
      <c r="E32" s="16">
        <v>31392</v>
      </c>
      <c r="F32" s="15" t="s">
        <v>14</v>
      </c>
      <c r="G32" s="15" t="s">
        <v>113</v>
      </c>
      <c r="H32" s="15">
        <v>81000</v>
      </c>
      <c r="I32" s="15">
        <v>2</v>
      </c>
      <c r="J32" s="15" t="s">
        <v>16</v>
      </c>
      <c r="K32" s="15" t="s">
        <v>17</v>
      </c>
      <c r="L32" s="15" t="str">
        <f t="shared" si="0"/>
        <v>Married</v>
      </c>
      <c r="M32" s="15" t="str">
        <f t="shared" si="1"/>
        <v>Mr Sachin Pandey</v>
      </c>
      <c r="N32" s="15">
        <f t="shared" ca="1" si="2"/>
        <v>40</v>
      </c>
      <c r="O32" s="15" t="str">
        <f t="shared" si="3"/>
        <v>Medium</v>
      </c>
      <c r="P32" s="15" t="str">
        <f t="shared" si="4"/>
        <v>Parents</v>
      </c>
      <c r="Q32" s="17" cm="1">
        <f t="array" ref="Q32">_xlfn.IFS(J32="Bachelor",1,
J32="Master",2,
J32="PhD",3)</f>
        <v>1</v>
      </c>
    </row>
    <row r="33" spans="1:17" x14ac:dyDescent="0.25">
      <c r="A33" s="14">
        <v>132</v>
      </c>
      <c r="B33" s="15" t="s">
        <v>28</v>
      </c>
      <c r="C33" s="15" t="s">
        <v>114</v>
      </c>
      <c r="D33" s="15" t="s">
        <v>115</v>
      </c>
      <c r="E33" s="16">
        <v>31822</v>
      </c>
      <c r="F33" s="15" t="s">
        <v>21</v>
      </c>
      <c r="G33" s="15" t="s">
        <v>116</v>
      </c>
      <c r="H33" s="15">
        <v>72000</v>
      </c>
      <c r="I33" s="15">
        <v>1</v>
      </c>
      <c r="J33" s="15" t="s">
        <v>23</v>
      </c>
      <c r="K33" s="15" t="s">
        <v>17</v>
      </c>
      <c r="L33" s="15" t="str">
        <f t="shared" si="0"/>
        <v>Single</v>
      </c>
      <c r="M33" s="15" t="str">
        <f t="shared" si="1"/>
        <v>Mrs Komal Shukla</v>
      </c>
      <c r="N33" s="15">
        <f t="shared" ca="1" si="2"/>
        <v>39</v>
      </c>
      <c r="O33" s="15" t="str">
        <f t="shared" si="3"/>
        <v>Medium</v>
      </c>
      <c r="P33" s="15" t="str">
        <f t="shared" si="4"/>
        <v>Non Parents</v>
      </c>
      <c r="Q33" s="17" cm="1">
        <f t="array" ref="Q33">_xlfn.IFS(J33="Bachelor",1,
J33="Master",2,
J33="PhD",3)</f>
        <v>2</v>
      </c>
    </row>
    <row r="34" spans="1:17" x14ac:dyDescent="0.25">
      <c r="A34" s="14">
        <v>133</v>
      </c>
      <c r="B34" s="15" t="s">
        <v>11</v>
      </c>
      <c r="C34" s="15" t="s">
        <v>117</v>
      </c>
      <c r="D34" s="15" t="s">
        <v>118</v>
      </c>
      <c r="E34" s="16">
        <v>29757</v>
      </c>
      <c r="F34" s="15" t="s">
        <v>14</v>
      </c>
      <c r="G34" s="15" t="s">
        <v>119</v>
      </c>
      <c r="H34" s="15">
        <v>89000</v>
      </c>
      <c r="I34" s="15">
        <v>3</v>
      </c>
      <c r="J34" s="15" t="s">
        <v>23</v>
      </c>
      <c r="K34" s="15" t="s">
        <v>17</v>
      </c>
      <c r="L34" s="15" t="str">
        <f t="shared" si="0"/>
        <v>Married</v>
      </c>
      <c r="M34" s="15" t="str">
        <f t="shared" si="1"/>
        <v>Mr Ajay Chaudhary</v>
      </c>
      <c r="N34" s="15">
        <f t="shared" ca="1" si="2"/>
        <v>44</v>
      </c>
      <c r="O34" s="15" t="str">
        <f t="shared" si="3"/>
        <v>High</v>
      </c>
      <c r="P34" s="15" t="str">
        <f t="shared" si="4"/>
        <v>Parents</v>
      </c>
      <c r="Q34" s="17" cm="1">
        <f t="array" ref="Q34">_xlfn.IFS(J34="Bachelor",1,
J34="Master",2,
J34="PhD",3)</f>
        <v>2</v>
      </c>
    </row>
    <row r="35" spans="1:17" x14ac:dyDescent="0.25">
      <c r="A35" s="14">
        <v>134</v>
      </c>
      <c r="B35" s="15" t="s">
        <v>18</v>
      </c>
      <c r="C35" s="15" t="s">
        <v>120</v>
      </c>
      <c r="D35" s="15" t="s">
        <v>121</v>
      </c>
      <c r="E35" s="16">
        <v>33917</v>
      </c>
      <c r="F35" s="15" t="s">
        <v>21</v>
      </c>
      <c r="G35" s="15" t="s">
        <v>122</v>
      </c>
      <c r="H35" s="15">
        <v>63000</v>
      </c>
      <c r="I35" s="15">
        <v>0</v>
      </c>
      <c r="J35" s="15" t="s">
        <v>16</v>
      </c>
      <c r="K35" s="15" t="s">
        <v>24</v>
      </c>
      <c r="L35" s="15" t="str">
        <f t="shared" si="0"/>
        <v>Single</v>
      </c>
      <c r="M35" s="15" t="str">
        <f t="shared" si="1"/>
        <v>Ms Rashmi Dwivedi</v>
      </c>
      <c r="N35" s="15">
        <f t="shared" ca="1" si="2"/>
        <v>33</v>
      </c>
      <c r="O35" s="15" t="str">
        <f t="shared" si="3"/>
        <v>Medium</v>
      </c>
      <c r="P35" s="15" t="str">
        <f t="shared" si="4"/>
        <v>Non Parents</v>
      </c>
      <c r="Q35" s="17" cm="1">
        <f t="array" ref="Q35">_xlfn.IFS(J35="Bachelor",1,
J35="Master",2,
J35="PhD",3)</f>
        <v>1</v>
      </c>
    </row>
    <row r="36" spans="1:17" x14ac:dyDescent="0.25">
      <c r="A36" s="14">
        <v>135</v>
      </c>
      <c r="B36" s="15" t="s">
        <v>11</v>
      </c>
      <c r="C36" s="15" t="s">
        <v>123</v>
      </c>
      <c r="D36" s="15" t="s">
        <v>124</v>
      </c>
      <c r="E36" s="16">
        <v>30559</v>
      </c>
      <c r="F36" s="15" t="s">
        <v>14</v>
      </c>
      <c r="G36" s="15" t="s">
        <v>125</v>
      </c>
      <c r="H36" s="15">
        <v>85000</v>
      </c>
      <c r="I36" s="15">
        <v>2</v>
      </c>
      <c r="J36" s="15" t="s">
        <v>16</v>
      </c>
      <c r="K36" s="15" t="s">
        <v>17</v>
      </c>
      <c r="L36" s="15" t="str">
        <f t="shared" si="0"/>
        <v>Married</v>
      </c>
      <c r="M36" s="15" t="str">
        <f t="shared" si="1"/>
        <v>Mr Mohit Tripathi</v>
      </c>
      <c r="N36" s="15">
        <f t="shared" ca="1" si="2"/>
        <v>42</v>
      </c>
      <c r="O36" s="15" t="str">
        <f t="shared" si="3"/>
        <v>High</v>
      </c>
      <c r="P36" s="15" t="str">
        <f t="shared" si="4"/>
        <v>Parents</v>
      </c>
      <c r="Q36" s="17" cm="1">
        <f t="array" ref="Q36">_xlfn.IFS(J36="Bachelor",1,
J36="Master",2,
J36="PhD",3)</f>
        <v>1</v>
      </c>
    </row>
    <row r="37" spans="1:17" x14ac:dyDescent="0.25">
      <c r="A37" s="14">
        <v>136</v>
      </c>
      <c r="B37" s="15" t="s">
        <v>28</v>
      </c>
      <c r="C37" s="15" t="s">
        <v>126</v>
      </c>
      <c r="D37" s="15" t="s">
        <v>127</v>
      </c>
      <c r="E37" s="16">
        <v>32165</v>
      </c>
      <c r="F37" s="15" t="s">
        <v>21</v>
      </c>
      <c r="G37" s="15" t="s">
        <v>128</v>
      </c>
      <c r="H37" s="15">
        <v>75000</v>
      </c>
      <c r="I37" s="15">
        <v>2</v>
      </c>
      <c r="J37" s="15" t="s">
        <v>23</v>
      </c>
      <c r="K37" s="15" t="s">
        <v>17</v>
      </c>
      <c r="L37" s="15" t="str">
        <f t="shared" si="0"/>
        <v>Married</v>
      </c>
      <c r="M37" s="15" t="str">
        <f t="shared" si="1"/>
        <v>Mrs Sonal Kaushik</v>
      </c>
      <c r="N37" s="15">
        <f t="shared" ca="1" si="2"/>
        <v>38</v>
      </c>
      <c r="O37" s="15" t="str">
        <f t="shared" si="3"/>
        <v>Medium</v>
      </c>
      <c r="P37" s="15" t="str">
        <f t="shared" si="4"/>
        <v>Parents</v>
      </c>
      <c r="Q37" s="17" cm="1">
        <f t="array" ref="Q37">_xlfn.IFS(J37="Bachelor",1,
J37="Master",2,
J37="PhD",3)</f>
        <v>2</v>
      </c>
    </row>
    <row r="38" spans="1:17" x14ac:dyDescent="0.25">
      <c r="A38" s="14">
        <v>137</v>
      </c>
      <c r="B38" s="15" t="s">
        <v>11</v>
      </c>
      <c r="C38" s="15" t="s">
        <v>129</v>
      </c>
      <c r="D38" s="15" t="s">
        <v>130</v>
      </c>
      <c r="E38" s="16">
        <v>28596</v>
      </c>
      <c r="F38" s="15" t="s">
        <v>14</v>
      </c>
      <c r="G38" s="15" t="s">
        <v>131</v>
      </c>
      <c r="H38" s="15">
        <v>97000</v>
      </c>
      <c r="I38" s="15">
        <v>4</v>
      </c>
      <c r="J38" s="15" t="s">
        <v>35</v>
      </c>
      <c r="K38" s="15" t="s">
        <v>17</v>
      </c>
      <c r="L38" s="15" t="str">
        <f t="shared" si="0"/>
        <v>Married</v>
      </c>
      <c r="M38" s="15" t="str">
        <f t="shared" si="1"/>
        <v>Mr Anil Roy</v>
      </c>
      <c r="N38" s="15">
        <f t="shared" ca="1" si="2"/>
        <v>48</v>
      </c>
      <c r="O38" s="15" t="str">
        <f t="shared" si="3"/>
        <v>High</v>
      </c>
      <c r="P38" s="15" t="str">
        <f t="shared" si="4"/>
        <v>Parents</v>
      </c>
      <c r="Q38" s="17" cm="1">
        <f t="array" ref="Q38">_xlfn.IFS(J38="Bachelor",1,
J38="Master",2,
J38="PhD",3)</f>
        <v>3</v>
      </c>
    </row>
    <row r="39" spans="1:17" x14ac:dyDescent="0.25">
      <c r="A39" s="14">
        <v>138</v>
      </c>
      <c r="B39" s="15" t="s">
        <v>18</v>
      </c>
      <c r="C39" s="15" t="s">
        <v>132</v>
      </c>
      <c r="D39" s="15" t="s">
        <v>133</v>
      </c>
      <c r="E39" s="16">
        <v>34881</v>
      </c>
      <c r="F39" s="15" t="s">
        <v>21</v>
      </c>
      <c r="G39" s="15" t="s">
        <v>134</v>
      </c>
      <c r="H39" s="15">
        <v>58000</v>
      </c>
      <c r="I39" s="15">
        <v>0</v>
      </c>
      <c r="J39" s="15" t="s">
        <v>16</v>
      </c>
      <c r="K39" s="15" t="s">
        <v>24</v>
      </c>
      <c r="L39" s="15" t="str">
        <f t="shared" si="0"/>
        <v>Single</v>
      </c>
      <c r="M39" s="15" t="str">
        <f t="shared" si="1"/>
        <v>Ms Juhi Dutta</v>
      </c>
      <c r="N39" s="15">
        <f t="shared" ca="1" si="2"/>
        <v>30</v>
      </c>
      <c r="O39" s="15" t="str">
        <f t="shared" si="3"/>
        <v>Low</v>
      </c>
      <c r="P39" s="15" t="str">
        <f t="shared" si="4"/>
        <v>Non Parents</v>
      </c>
      <c r="Q39" s="17" cm="1">
        <f t="array" ref="Q39">_xlfn.IFS(J39="Bachelor",1,
J39="Master",2,
J39="PhD",3)</f>
        <v>1</v>
      </c>
    </row>
    <row r="40" spans="1:17" x14ac:dyDescent="0.25">
      <c r="A40" s="14">
        <v>139</v>
      </c>
      <c r="B40" s="15" t="s">
        <v>11</v>
      </c>
      <c r="C40" s="15" t="s">
        <v>135</v>
      </c>
      <c r="D40" s="15" t="s">
        <v>136</v>
      </c>
      <c r="E40" s="16">
        <v>30974</v>
      </c>
      <c r="F40" s="15" t="s">
        <v>14</v>
      </c>
      <c r="G40" s="15" t="s">
        <v>137</v>
      </c>
      <c r="H40" s="15">
        <v>84000</v>
      </c>
      <c r="I40" s="15">
        <v>2</v>
      </c>
      <c r="J40" s="15" t="s">
        <v>23</v>
      </c>
      <c r="K40" s="15" t="s">
        <v>17</v>
      </c>
      <c r="L40" s="15" t="str">
        <f t="shared" si="0"/>
        <v>Married</v>
      </c>
      <c r="M40" s="15" t="str">
        <f t="shared" si="1"/>
        <v>Mr Varun Bose</v>
      </c>
      <c r="N40" s="15">
        <f t="shared" ca="1" si="2"/>
        <v>41</v>
      </c>
      <c r="O40" s="15" t="str">
        <f t="shared" si="3"/>
        <v>Medium</v>
      </c>
      <c r="P40" s="15" t="str">
        <f t="shared" si="4"/>
        <v>Parents</v>
      </c>
      <c r="Q40" s="17" cm="1">
        <f t="array" ref="Q40">_xlfn.IFS(J40="Bachelor",1,
J40="Master",2,
J40="PhD",3)</f>
        <v>2</v>
      </c>
    </row>
    <row r="41" spans="1:17" x14ac:dyDescent="0.25">
      <c r="A41" s="14">
        <v>140</v>
      </c>
      <c r="B41" s="15" t="s">
        <v>28</v>
      </c>
      <c r="C41" s="15" t="s">
        <v>138</v>
      </c>
      <c r="D41" s="15" t="s">
        <v>139</v>
      </c>
      <c r="E41" s="16">
        <v>32756</v>
      </c>
      <c r="F41" s="15" t="s">
        <v>21</v>
      </c>
      <c r="G41" s="15" t="s">
        <v>140</v>
      </c>
      <c r="H41" s="15">
        <v>73000</v>
      </c>
      <c r="I41" s="15">
        <v>1</v>
      </c>
      <c r="J41" s="15" t="s">
        <v>16</v>
      </c>
      <c r="K41" s="15" t="s">
        <v>17</v>
      </c>
      <c r="L41" s="15" t="str">
        <f t="shared" si="0"/>
        <v>Single</v>
      </c>
      <c r="M41" s="15" t="str">
        <f t="shared" si="1"/>
        <v>Mrs Simran Ghosh</v>
      </c>
      <c r="N41" s="15">
        <f t="shared" ca="1" si="2"/>
        <v>36</v>
      </c>
      <c r="O41" s="15" t="str">
        <f t="shared" si="3"/>
        <v>Medium</v>
      </c>
      <c r="P41" s="15" t="str">
        <f t="shared" si="4"/>
        <v>Non Parents</v>
      </c>
      <c r="Q41" s="17" cm="1">
        <f t="array" ref="Q41">_xlfn.IFS(J41="Bachelor",1,
J41="Master",2,
J41="PhD",3)</f>
        <v>1</v>
      </c>
    </row>
    <row r="42" spans="1:17" x14ac:dyDescent="0.25">
      <c r="A42" s="14">
        <v>141</v>
      </c>
      <c r="B42" s="15" t="s">
        <v>11</v>
      </c>
      <c r="C42" s="15" t="s">
        <v>141</v>
      </c>
      <c r="D42" s="15" t="s">
        <v>142</v>
      </c>
      <c r="E42" s="16">
        <v>30022</v>
      </c>
      <c r="F42" s="15" t="s">
        <v>14</v>
      </c>
      <c r="G42" s="15" t="s">
        <v>143</v>
      </c>
      <c r="H42" s="15">
        <v>88000</v>
      </c>
      <c r="I42" s="15">
        <v>3</v>
      </c>
      <c r="J42" s="15" t="s">
        <v>23</v>
      </c>
      <c r="K42" s="15" t="s">
        <v>17</v>
      </c>
      <c r="L42" s="15" t="str">
        <f t="shared" si="0"/>
        <v>Married</v>
      </c>
      <c r="M42" s="15" t="str">
        <f t="shared" si="1"/>
        <v>Mr Akash Paul</v>
      </c>
      <c r="N42" s="15">
        <f t="shared" ca="1" si="2"/>
        <v>44</v>
      </c>
      <c r="O42" s="15" t="str">
        <f t="shared" si="3"/>
        <v>High</v>
      </c>
      <c r="P42" s="15" t="str">
        <f t="shared" si="4"/>
        <v>Parents</v>
      </c>
      <c r="Q42" s="17" cm="1">
        <f t="array" ref="Q42">_xlfn.IFS(J42="Bachelor",1,
J42="Master",2,
J42="PhD",3)</f>
        <v>2</v>
      </c>
    </row>
    <row r="43" spans="1:17" x14ac:dyDescent="0.25">
      <c r="A43" s="14">
        <v>142</v>
      </c>
      <c r="B43" s="15" t="s">
        <v>18</v>
      </c>
      <c r="C43" s="15" t="s">
        <v>144</v>
      </c>
      <c r="D43" s="15" t="s">
        <v>145</v>
      </c>
      <c r="E43" s="16">
        <v>34137</v>
      </c>
      <c r="F43" s="15" t="s">
        <v>21</v>
      </c>
      <c r="G43" s="15" t="s">
        <v>146</v>
      </c>
      <c r="H43" s="15">
        <v>61000</v>
      </c>
      <c r="I43" s="15">
        <v>0</v>
      </c>
      <c r="J43" s="15" t="s">
        <v>16</v>
      </c>
      <c r="K43" s="15" t="s">
        <v>24</v>
      </c>
      <c r="L43" s="15" t="str">
        <f t="shared" si="0"/>
        <v>Single</v>
      </c>
      <c r="M43" s="15" t="str">
        <f t="shared" si="1"/>
        <v>Ms Riya Das</v>
      </c>
      <c r="N43" s="15">
        <f t="shared" ca="1" si="2"/>
        <v>32</v>
      </c>
      <c r="O43" s="15" t="str">
        <f t="shared" si="3"/>
        <v>Medium</v>
      </c>
      <c r="P43" s="15" t="str">
        <f t="shared" si="4"/>
        <v>Non Parents</v>
      </c>
      <c r="Q43" s="17" cm="1">
        <f t="array" ref="Q43">_xlfn.IFS(J43="Bachelor",1,
J43="Master",2,
J43="PhD",3)</f>
        <v>1</v>
      </c>
    </row>
    <row r="44" spans="1:17" x14ac:dyDescent="0.25">
      <c r="A44" s="14">
        <v>143</v>
      </c>
      <c r="B44" s="15" t="s">
        <v>11</v>
      </c>
      <c r="C44" s="15" t="s">
        <v>147</v>
      </c>
      <c r="D44" s="15" t="s">
        <v>148</v>
      </c>
      <c r="E44" s="16">
        <v>29615</v>
      </c>
      <c r="F44" s="15" t="s">
        <v>14</v>
      </c>
      <c r="G44" s="15" t="s">
        <v>149</v>
      </c>
      <c r="H44" s="15">
        <v>90000</v>
      </c>
      <c r="I44" s="15">
        <v>2</v>
      </c>
      <c r="J44" s="15" t="s">
        <v>35</v>
      </c>
      <c r="K44" s="15" t="s">
        <v>17</v>
      </c>
      <c r="L44" s="15" t="str">
        <f t="shared" si="0"/>
        <v>Married</v>
      </c>
      <c r="M44" s="15" t="str">
        <f t="shared" si="1"/>
        <v>Mr Prakash Sen</v>
      </c>
      <c r="N44" s="15">
        <f t="shared" ca="1" si="2"/>
        <v>45</v>
      </c>
      <c r="O44" s="15" t="str">
        <f t="shared" si="3"/>
        <v>High</v>
      </c>
      <c r="P44" s="15" t="str">
        <f t="shared" si="4"/>
        <v>Parents</v>
      </c>
      <c r="Q44" s="17" cm="1">
        <f t="array" ref="Q44">_xlfn.IFS(J44="Bachelor",1,
J44="Master",2,
J44="PhD",3)</f>
        <v>3</v>
      </c>
    </row>
    <row r="45" spans="1:17" x14ac:dyDescent="0.25">
      <c r="A45" s="14">
        <v>144</v>
      </c>
      <c r="B45" s="15" t="s">
        <v>28</v>
      </c>
      <c r="C45" s="15" t="s">
        <v>150</v>
      </c>
      <c r="D45" s="15" t="s">
        <v>151</v>
      </c>
      <c r="E45" s="16">
        <v>32118</v>
      </c>
      <c r="F45" s="15" t="s">
        <v>21</v>
      </c>
      <c r="G45" s="15" t="s">
        <v>152</v>
      </c>
      <c r="H45" s="15">
        <v>71000</v>
      </c>
      <c r="I45" s="15">
        <v>1</v>
      </c>
      <c r="J45" s="15" t="s">
        <v>23</v>
      </c>
      <c r="K45" s="15" t="s">
        <v>17</v>
      </c>
      <c r="L45" s="15" t="str">
        <f t="shared" si="0"/>
        <v>Single</v>
      </c>
      <c r="M45" s="15" t="str">
        <f t="shared" si="1"/>
        <v>Mrs Monika Chatterjee</v>
      </c>
      <c r="N45" s="15">
        <f t="shared" ca="1" si="2"/>
        <v>38</v>
      </c>
      <c r="O45" s="15" t="str">
        <f t="shared" si="3"/>
        <v>Medium</v>
      </c>
      <c r="P45" s="15" t="str">
        <f t="shared" si="4"/>
        <v>Non Parents</v>
      </c>
      <c r="Q45" s="17" cm="1">
        <f t="array" ref="Q45">_xlfn.IFS(J45="Bachelor",1,
J45="Master",2,
J45="PhD",3)</f>
        <v>2</v>
      </c>
    </row>
    <row r="46" spans="1:17" x14ac:dyDescent="0.25">
      <c r="A46" s="14">
        <v>145</v>
      </c>
      <c r="B46" s="15" t="s">
        <v>11</v>
      </c>
      <c r="C46" s="15" t="s">
        <v>153</v>
      </c>
      <c r="D46" s="15" t="s">
        <v>154</v>
      </c>
      <c r="E46" s="16">
        <v>31191</v>
      </c>
      <c r="F46" s="15" t="s">
        <v>14</v>
      </c>
      <c r="G46" s="15" t="s">
        <v>155</v>
      </c>
      <c r="H46" s="15">
        <v>82000</v>
      </c>
      <c r="I46" s="15">
        <v>2</v>
      </c>
      <c r="J46" s="15" t="s">
        <v>16</v>
      </c>
      <c r="K46" s="15" t="s">
        <v>17</v>
      </c>
      <c r="L46" s="15" t="str">
        <f t="shared" si="0"/>
        <v>Married</v>
      </c>
      <c r="M46" s="15" t="str">
        <f t="shared" si="1"/>
        <v>Mr Naveen Pillai</v>
      </c>
      <c r="N46" s="15">
        <f t="shared" ca="1" si="2"/>
        <v>41</v>
      </c>
      <c r="O46" s="15" t="str">
        <f t="shared" si="3"/>
        <v>Medium</v>
      </c>
      <c r="P46" s="15" t="str">
        <f t="shared" si="4"/>
        <v>Parents</v>
      </c>
      <c r="Q46" s="17" cm="1">
        <f t="array" ref="Q46">_xlfn.IFS(J46="Bachelor",1,
J46="Master",2,
J46="PhD",3)</f>
        <v>1</v>
      </c>
    </row>
    <row r="47" spans="1:17" x14ac:dyDescent="0.25">
      <c r="A47" s="14">
        <v>146</v>
      </c>
      <c r="B47" s="15" t="s">
        <v>18</v>
      </c>
      <c r="C47" s="15" t="s">
        <v>156</v>
      </c>
      <c r="D47" s="15" t="s">
        <v>157</v>
      </c>
      <c r="E47" s="16">
        <v>34559</v>
      </c>
      <c r="F47" s="15" t="s">
        <v>21</v>
      </c>
      <c r="G47" s="15" t="s">
        <v>158</v>
      </c>
      <c r="H47" s="15">
        <v>60000</v>
      </c>
      <c r="I47" s="15">
        <v>0</v>
      </c>
      <c r="J47" s="15" t="s">
        <v>16</v>
      </c>
      <c r="K47" s="15" t="s">
        <v>24</v>
      </c>
      <c r="L47" s="15" t="str">
        <f t="shared" si="0"/>
        <v>Single</v>
      </c>
      <c r="M47" s="15" t="str">
        <f t="shared" si="1"/>
        <v>Ms Reema Kurian</v>
      </c>
      <c r="N47" s="15">
        <f t="shared" ca="1" si="2"/>
        <v>31</v>
      </c>
      <c r="O47" s="15" t="str">
        <f t="shared" si="3"/>
        <v>Medium</v>
      </c>
      <c r="P47" s="15" t="str">
        <f t="shared" si="4"/>
        <v>Non Parents</v>
      </c>
      <c r="Q47" s="17" cm="1">
        <f t="array" ref="Q47">_xlfn.IFS(J47="Bachelor",1,
J47="Master",2,
J47="PhD",3)</f>
        <v>1</v>
      </c>
    </row>
    <row r="48" spans="1:17" x14ac:dyDescent="0.25">
      <c r="A48" s="14">
        <v>147</v>
      </c>
      <c r="B48" s="15" t="s">
        <v>11</v>
      </c>
      <c r="C48" s="15" t="s">
        <v>159</v>
      </c>
      <c r="D48" s="15" t="s">
        <v>160</v>
      </c>
      <c r="E48" s="16">
        <v>29540</v>
      </c>
      <c r="F48" s="15" t="s">
        <v>14</v>
      </c>
      <c r="G48" s="15" t="s">
        <v>161</v>
      </c>
      <c r="H48" s="15">
        <v>94000</v>
      </c>
      <c r="I48" s="15">
        <v>3</v>
      </c>
      <c r="J48" s="15" t="s">
        <v>23</v>
      </c>
      <c r="K48" s="15" t="s">
        <v>17</v>
      </c>
      <c r="L48" s="15" t="str">
        <f t="shared" si="0"/>
        <v>Married</v>
      </c>
      <c r="M48" s="15" t="str">
        <f t="shared" si="1"/>
        <v>Mr Suraj Thomas</v>
      </c>
      <c r="N48" s="15">
        <f t="shared" ca="1" si="2"/>
        <v>45</v>
      </c>
      <c r="O48" s="15" t="str">
        <f t="shared" si="3"/>
        <v>High</v>
      </c>
      <c r="P48" s="15" t="str">
        <f t="shared" si="4"/>
        <v>Parents</v>
      </c>
      <c r="Q48" s="17" cm="1">
        <f t="array" ref="Q48">_xlfn.IFS(J48="Bachelor",1,
J48="Master",2,
J48="PhD",3)</f>
        <v>2</v>
      </c>
    </row>
    <row r="49" spans="1:17" x14ac:dyDescent="0.25">
      <c r="A49" s="14">
        <v>148</v>
      </c>
      <c r="B49" s="15" t="s">
        <v>28</v>
      </c>
      <c r="C49" s="15" t="s">
        <v>162</v>
      </c>
      <c r="D49" s="15" t="s">
        <v>163</v>
      </c>
      <c r="E49" s="16">
        <v>32201</v>
      </c>
      <c r="F49" s="15" t="s">
        <v>21</v>
      </c>
      <c r="G49" s="15" t="s">
        <v>164</v>
      </c>
      <c r="H49" s="15">
        <v>76000</v>
      </c>
      <c r="I49" s="15">
        <v>2</v>
      </c>
      <c r="J49" s="15" t="s">
        <v>23</v>
      </c>
      <c r="K49" s="15" t="s">
        <v>17</v>
      </c>
      <c r="L49" s="15" t="str">
        <f t="shared" si="0"/>
        <v>Married</v>
      </c>
      <c r="M49" s="15" t="str">
        <f t="shared" si="1"/>
        <v>Mrs Anita George</v>
      </c>
      <c r="N49" s="15">
        <f t="shared" ca="1" si="2"/>
        <v>38</v>
      </c>
      <c r="O49" s="15" t="str">
        <f t="shared" si="3"/>
        <v>Medium</v>
      </c>
      <c r="P49" s="15" t="str">
        <f t="shared" si="4"/>
        <v>Parents</v>
      </c>
      <c r="Q49" s="17" cm="1">
        <f t="array" ref="Q49">_xlfn.IFS(J49="Bachelor",1,
J49="Master",2,
J49="PhD",3)</f>
        <v>2</v>
      </c>
    </row>
    <row r="50" spans="1:17" x14ac:dyDescent="0.25">
      <c r="A50" s="14">
        <v>149</v>
      </c>
      <c r="B50" s="15" t="s">
        <v>11</v>
      </c>
      <c r="C50" s="15" t="s">
        <v>165</v>
      </c>
      <c r="D50" s="15" t="s">
        <v>166</v>
      </c>
      <c r="E50" s="16">
        <v>30506</v>
      </c>
      <c r="F50" s="15" t="s">
        <v>14</v>
      </c>
      <c r="G50" s="15" t="s">
        <v>167</v>
      </c>
      <c r="H50" s="15">
        <v>86000</v>
      </c>
      <c r="I50" s="15">
        <v>2</v>
      </c>
      <c r="J50" s="15" t="s">
        <v>16</v>
      </c>
      <c r="K50" s="15" t="s">
        <v>17</v>
      </c>
      <c r="L50" s="15" t="str">
        <f t="shared" si="0"/>
        <v>Married</v>
      </c>
      <c r="M50" s="15" t="str">
        <f t="shared" si="1"/>
        <v>Mr Rakesh Mathew</v>
      </c>
      <c r="N50" s="15">
        <f t="shared" ca="1" si="2"/>
        <v>42</v>
      </c>
      <c r="O50" s="15" t="str">
        <f t="shared" si="3"/>
        <v>High</v>
      </c>
      <c r="P50" s="15" t="str">
        <f t="shared" si="4"/>
        <v>Parents</v>
      </c>
      <c r="Q50" s="17" cm="1">
        <f t="array" ref="Q50">_xlfn.IFS(J50="Bachelor",1,
J50="Master",2,
J50="PhD",3)</f>
        <v>1</v>
      </c>
    </row>
    <row r="51" spans="1:17" x14ac:dyDescent="0.25">
      <c r="A51" s="14">
        <v>150</v>
      </c>
      <c r="B51" s="15" t="s">
        <v>18</v>
      </c>
      <c r="C51" s="15" t="s">
        <v>168</v>
      </c>
      <c r="D51" s="15" t="s">
        <v>169</v>
      </c>
      <c r="E51" s="16">
        <v>33903</v>
      </c>
      <c r="F51" s="15" t="s">
        <v>21</v>
      </c>
      <c r="G51" s="15" t="s">
        <v>170</v>
      </c>
      <c r="H51" s="15">
        <v>62000</v>
      </c>
      <c r="I51" s="15">
        <v>0</v>
      </c>
      <c r="J51" s="15" t="s">
        <v>16</v>
      </c>
      <c r="K51" s="15" t="s">
        <v>24</v>
      </c>
      <c r="L51" s="15" t="str">
        <f t="shared" si="0"/>
        <v>Single</v>
      </c>
      <c r="M51" s="15" t="str">
        <f t="shared" si="1"/>
        <v>Ms Pallavi Joseph</v>
      </c>
      <c r="N51" s="15">
        <f t="shared" ca="1" si="2"/>
        <v>33</v>
      </c>
      <c r="O51" s="15" t="str">
        <f t="shared" si="3"/>
        <v>Medium</v>
      </c>
      <c r="P51" s="15" t="str">
        <f t="shared" si="4"/>
        <v>Non Parents</v>
      </c>
      <c r="Q51" s="17" cm="1">
        <f t="array" ref="Q51">_xlfn.IFS(J51="Bachelor",1,
J51="Master",2,
J51="PhD",3)</f>
        <v>1</v>
      </c>
    </row>
    <row r="52" spans="1:17" x14ac:dyDescent="0.25">
      <c r="A52" s="14">
        <v>151</v>
      </c>
      <c r="B52" s="15" t="s">
        <v>11</v>
      </c>
      <c r="C52" s="15" t="s">
        <v>171</v>
      </c>
      <c r="D52" s="15" t="s">
        <v>172</v>
      </c>
      <c r="E52" s="16">
        <v>29677</v>
      </c>
      <c r="F52" s="15" t="s">
        <v>14</v>
      </c>
      <c r="G52" s="15" t="s">
        <v>173</v>
      </c>
      <c r="H52" s="15">
        <v>91000</v>
      </c>
      <c r="I52" s="15">
        <v>3</v>
      </c>
      <c r="J52" s="15" t="s">
        <v>23</v>
      </c>
      <c r="K52" s="15" t="s">
        <v>17</v>
      </c>
      <c r="L52" s="15" t="str">
        <f t="shared" si="0"/>
        <v>Married</v>
      </c>
      <c r="M52" s="15" t="str">
        <f t="shared" si="1"/>
        <v>Mr Dinesh Fernandes</v>
      </c>
      <c r="N52" s="15">
        <f t="shared" ca="1" si="2"/>
        <v>45</v>
      </c>
      <c r="O52" s="15" t="str">
        <f t="shared" si="3"/>
        <v>High</v>
      </c>
      <c r="P52" s="15" t="str">
        <f t="shared" si="4"/>
        <v>Parents</v>
      </c>
      <c r="Q52" s="17" cm="1">
        <f t="array" ref="Q52">_xlfn.IFS(J52="Bachelor",1,
J52="Master",2,
J52="PhD",3)</f>
        <v>2</v>
      </c>
    </row>
    <row r="53" spans="1:17" x14ac:dyDescent="0.25">
      <c r="A53" s="14">
        <v>152</v>
      </c>
      <c r="B53" s="15" t="s">
        <v>28</v>
      </c>
      <c r="C53" s="15" t="s">
        <v>174</v>
      </c>
      <c r="D53" s="15" t="s">
        <v>175</v>
      </c>
      <c r="E53" s="16">
        <v>32670</v>
      </c>
      <c r="F53" s="15" t="s">
        <v>21</v>
      </c>
      <c r="G53" s="15" t="s">
        <v>176</v>
      </c>
      <c r="H53" s="15">
        <v>74000</v>
      </c>
      <c r="I53" s="15">
        <v>1</v>
      </c>
      <c r="J53" s="15" t="s">
        <v>16</v>
      </c>
      <c r="K53" s="15" t="s">
        <v>17</v>
      </c>
      <c r="L53" s="15" t="str">
        <f t="shared" si="0"/>
        <v>Single</v>
      </c>
      <c r="M53" s="15" t="str">
        <f t="shared" si="1"/>
        <v>Mrs Kirti Pinto</v>
      </c>
      <c r="N53" s="15">
        <f t="shared" ca="1" si="2"/>
        <v>36</v>
      </c>
      <c r="O53" s="15" t="str">
        <f t="shared" si="3"/>
        <v>Medium</v>
      </c>
      <c r="P53" s="15" t="str">
        <f t="shared" si="4"/>
        <v>Non Parents</v>
      </c>
      <c r="Q53" s="17" cm="1">
        <f t="array" ref="Q53">_xlfn.IFS(J53="Bachelor",1,
J53="Master",2,
J53="PhD",3)</f>
        <v>1</v>
      </c>
    </row>
    <row r="54" spans="1:17" x14ac:dyDescent="0.25">
      <c r="A54" s="14">
        <v>153</v>
      </c>
      <c r="B54" s="15" t="s">
        <v>11</v>
      </c>
      <c r="C54" s="15" t="s">
        <v>177</v>
      </c>
      <c r="D54" s="15" t="s">
        <v>178</v>
      </c>
      <c r="E54" s="16">
        <v>30954</v>
      </c>
      <c r="F54" s="15" t="s">
        <v>14</v>
      </c>
      <c r="G54" s="15" t="s">
        <v>179</v>
      </c>
      <c r="H54" s="15">
        <v>83000</v>
      </c>
      <c r="I54" s="15">
        <v>2</v>
      </c>
      <c r="J54" s="15" t="s">
        <v>16</v>
      </c>
      <c r="K54" s="15" t="s">
        <v>17</v>
      </c>
      <c r="L54" s="15" t="str">
        <f t="shared" si="0"/>
        <v>Married</v>
      </c>
      <c r="M54" s="15" t="str">
        <f t="shared" si="1"/>
        <v>Mr Umesh Naik</v>
      </c>
      <c r="N54" s="15">
        <f t="shared" ca="1" si="2"/>
        <v>41</v>
      </c>
      <c r="O54" s="15" t="str">
        <f t="shared" si="3"/>
        <v>Medium</v>
      </c>
      <c r="P54" s="15" t="str">
        <f t="shared" si="4"/>
        <v>Parents</v>
      </c>
      <c r="Q54" s="17" cm="1">
        <f t="array" ref="Q54">_xlfn.IFS(J54="Bachelor",1,
J54="Master",2,
J54="PhD",3)</f>
        <v>1</v>
      </c>
    </row>
    <row r="55" spans="1:17" x14ac:dyDescent="0.25">
      <c r="A55" s="14">
        <v>154</v>
      </c>
      <c r="B55" s="15" t="s">
        <v>18</v>
      </c>
      <c r="C55" s="15" t="s">
        <v>180</v>
      </c>
      <c r="D55" s="15" t="s">
        <v>181</v>
      </c>
      <c r="E55" s="16">
        <v>34050</v>
      </c>
      <c r="F55" s="15" t="s">
        <v>21</v>
      </c>
      <c r="G55" s="15" t="s">
        <v>182</v>
      </c>
      <c r="H55" s="15">
        <v>61000</v>
      </c>
      <c r="I55" s="15">
        <v>0</v>
      </c>
      <c r="J55" s="15" t="s">
        <v>23</v>
      </c>
      <c r="K55" s="15" t="s">
        <v>24</v>
      </c>
      <c r="L55" s="15" t="str">
        <f t="shared" si="0"/>
        <v>Single</v>
      </c>
      <c r="M55" s="15" t="str">
        <f t="shared" si="1"/>
        <v>Ms Preeti Kulkarni</v>
      </c>
      <c r="N55" s="15">
        <f t="shared" ca="1" si="2"/>
        <v>33</v>
      </c>
      <c r="O55" s="15" t="str">
        <f t="shared" si="3"/>
        <v>Medium</v>
      </c>
      <c r="P55" s="15" t="str">
        <f t="shared" si="4"/>
        <v>Non Parents</v>
      </c>
      <c r="Q55" s="17" cm="1">
        <f t="array" ref="Q55">_xlfn.IFS(J55="Bachelor",1,
J55="Master",2,
J55="PhD",3)</f>
        <v>2</v>
      </c>
    </row>
    <row r="56" spans="1:17" x14ac:dyDescent="0.25">
      <c r="A56" s="14">
        <v>155</v>
      </c>
      <c r="B56" s="15" t="s">
        <v>11</v>
      </c>
      <c r="C56" s="15" t="s">
        <v>183</v>
      </c>
      <c r="D56" s="15" t="s">
        <v>184</v>
      </c>
      <c r="E56" s="16">
        <v>29071</v>
      </c>
      <c r="F56" s="15" t="s">
        <v>14</v>
      </c>
      <c r="G56" s="15" t="s">
        <v>185</v>
      </c>
      <c r="H56" s="15">
        <v>95000</v>
      </c>
      <c r="I56" s="15">
        <v>4</v>
      </c>
      <c r="J56" s="15" t="s">
        <v>35</v>
      </c>
      <c r="K56" s="15" t="s">
        <v>17</v>
      </c>
      <c r="L56" s="15" t="str">
        <f t="shared" si="0"/>
        <v>Married</v>
      </c>
      <c r="M56" s="15" t="str">
        <f t="shared" si="1"/>
        <v>Mr Sunil Patwardhan</v>
      </c>
      <c r="N56" s="15">
        <f t="shared" ca="1" si="2"/>
        <v>46</v>
      </c>
      <c r="O56" s="15" t="str">
        <f t="shared" si="3"/>
        <v>High</v>
      </c>
      <c r="P56" s="15" t="str">
        <f t="shared" si="4"/>
        <v>Parents</v>
      </c>
      <c r="Q56" s="17" cm="1">
        <f t="array" ref="Q56">_xlfn.IFS(J56="Bachelor",1,
J56="Master",2,
J56="PhD",3)</f>
        <v>3</v>
      </c>
    </row>
    <row r="57" spans="1:17" x14ac:dyDescent="0.25">
      <c r="A57" s="14">
        <v>156</v>
      </c>
      <c r="B57" s="15" t="s">
        <v>28</v>
      </c>
      <c r="C57" s="15" t="s">
        <v>186</v>
      </c>
      <c r="D57" s="15" t="s">
        <v>88</v>
      </c>
      <c r="E57" s="16">
        <v>32094</v>
      </c>
      <c r="F57" s="15" t="s">
        <v>21</v>
      </c>
      <c r="G57" s="15" t="s">
        <v>187</v>
      </c>
      <c r="H57" s="15">
        <v>72000</v>
      </c>
      <c r="I57" s="15">
        <v>2</v>
      </c>
      <c r="J57" s="15" t="s">
        <v>23</v>
      </c>
      <c r="K57" s="15" t="s">
        <v>17</v>
      </c>
      <c r="L57" s="15" t="str">
        <f t="shared" si="0"/>
        <v>Married</v>
      </c>
      <c r="M57" s="15" t="str">
        <f t="shared" si="1"/>
        <v>Mrs Madhuri Joshi</v>
      </c>
      <c r="N57" s="15">
        <f t="shared" ca="1" si="2"/>
        <v>38</v>
      </c>
      <c r="O57" s="15" t="str">
        <f t="shared" si="3"/>
        <v>Medium</v>
      </c>
      <c r="P57" s="15" t="str">
        <f t="shared" si="4"/>
        <v>Parents</v>
      </c>
      <c r="Q57" s="17" cm="1">
        <f t="array" ref="Q57">_xlfn.IFS(J57="Bachelor",1,
J57="Master",2,
J57="PhD",3)</f>
        <v>2</v>
      </c>
    </row>
    <row r="58" spans="1:17" x14ac:dyDescent="0.25">
      <c r="A58" s="14">
        <v>157</v>
      </c>
      <c r="B58" s="15" t="s">
        <v>11</v>
      </c>
      <c r="C58" s="15" t="s">
        <v>188</v>
      </c>
      <c r="D58" s="15" t="s">
        <v>189</v>
      </c>
      <c r="E58" s="16">
        <v>30091</v>
      </c>
      <c r="F58" s="15" t="s">
        <v>14</v>
      </c>
      <c r="G58" s="15" t="s">
        <v>190</v>
      </c>
      <c r="H58" s="15">
        <v>87000</v>
      </c>
      <c r="I58" s="15">
        <v>2</v>
      </c>
      <c r="J58" s="15" t="s">
        <v>16</v>
      </c>
      <c r="K58" s="15" t="s">
        <v>17</v>
      </c>
      <c r="L58" s="15" t="str">
        <f t="shared" si="0"/>
        <v>Married</v>
      </c>
      <c r="M58" s="15" t="str">
        <f t="shared" si="1"/>
        <v>Mr Ashish Deshpande</v>
      </c>
      <c r="N58" s="15">
        <f t="shared" ca="1" si="2"/>
        <v>44</v>
      </c>
      <c r="O58" s="15" t="str">
        <f t="shared" si="3"/>
        <v>High</v>
      </c>
      <c r="P58" s="15" t="str">
        <f t="shared" si="4"/>
        <v>Parents</v>
      </c>
      <c r="Q58" s="17" cm="1">
        <f t="array" ref="Q58">_xlfn.IFS(J58="Bachelor",1,
J58="Master",2,
J58="PhD",3)</f>
        <v>1</v>
      </c>
    </row>
    <row r="59" spans="1:17" x14ac:dyDescent="0.25">
      <c r="A59" s="14">
        <v>158</v>
      </c>
      <c r="B59" s="15" t="s">
        <v>18</v>
      </c>
      <c r="C59" s="15" t="s">
        <v>191</v>
      </c>
      <c r="D59" s="15" t="s">
        <v>192</v>
      </c>
      <c r="E59" s="16">
        <v>34343</v>
      </c>
      <c r="F59" s="15" t="s">
        <v>21</v>
      </c>
      <c r="G59" s="15" t="s">
        <v>193</v>
      </c>
      <c r="H59" s="15">
        <v>59000</v>
      </c>
      <c r="I59" s="15">
        <v>0</v>
      </c>
      <c r="J59" s="15" t="s">
        <v>16</v>
      </c>
      <c r="K59" s="15" t="s">
        <v>24</v>
      </c>
      <c r="L59" s="15" t="str">
        <f t="shared" si="0"/>
        <v>Single</v>
      </c>
      <c r="M59" s="15" t="str">
        <f t="shared" si="1"/>
        <v>Ms Namrata Apte</v>
      </c>
      <c r="N59" s="15">
        <f t="shared" ca="1" si="2"/>
        <v>32</v>
      </c>
      <c r="O59" s="15" t="str">
        <f t="shared" si="3"/>
        <v>Low</v>
      </c>
      <c r="P59" s="15" t="str">
        <f t="shared" si="4"/>
        <v>Non Parents</v>
      </c>
      <c r="Q59" s="17" cm="1">
        <f t="array" ref="Q59">_xlfn.IFS(J59="Bachelor",1,
J59="Master",2,
J59="PhD",3)</f>
        <v>1</v>
      </c>
    </row>
    <row r="60" spans="1:17" x14ac:dyDescent="0.25">
      <c r="A60" s="14">
        <v>159</v>
      </c>
      <c r="B60" s="15" t="s">
        <v>11</v>
      </c>
      <c r="C60" s="15" t="s">
        <v>194</v>
      </c>
      <c r="D60" s="15" t="s">
        <v>195</v>
      </c>
      <c r="E60" s="16">
        <v>29429</v>
      </c>
      <c r="F60" s="15" t="s">
        <v>14</v>
      </c>
      <c r="G60" s="15" t="s">
        <v>196</v>
      </c>
      <c r="H60" s="15">
        <v>92000</v>
      </c>
      <c r="I60" s="15">
        <v>3</v>
      </c>
      <c r="J60" s="15" t="s">
        <v>23</v>
      </c>
      <c r="K60" s="15" t="s">
        <v>17</v>
      </c>
      <c r="L60" s="15" t="str">
        <f t="shared" si="0"/>
        <v>Married</v>
      </c>
      <c r="M60" s="15" t="str">
        <f t="shared" si="1"/>
        <v>Mr Rajiv Pathak</v>
      </c>
      <c r="N60" s="15">
        <f t="shared" ca="1" si="2"/>
        <v>45</v>
      </c>
      <c r="O60" s="15" t="str">
        <f t="shared" si="3"/>
        <v>High</v>
      </c>
      <c r="P60" s="15" t="str">
        <f t="shared" si="4"/>
        <v>Parents</v>
      </c>
      <c r="Q60" s="17" cm="1">
        <f t="array" ref="Q60">_xlfn.IFS(J60="Bachelor",1,
J60="Master",2,
J60="PhD",3)</f>
        <v>2</v>
      </c>
    </row>
    <row r="61" spans="1:17" x14ac:dyDescent="0.25">
      <c r="A61" s="14">
        <v>160</v>
      </c>
      <c r="B61" s="15" t="s">
        <v>28</v>
      </c>
      <c r="C61" s="15" t="s">
        <v>197</v>
      </c>
      <c r="D61" s="15" t="s">
        <v>198</v>
      </c>
      <c r="E61" s="16">
        <v>32434</v>
      </c>
      <c r="F61" s="15" t="s">
        <v>21</v>
      </c>
      <c r="G61" s="15" t="s">
        <v>199</v>
      </c>
      <c r="H61" s="15">
        <v>73000</v>
      </c>
      <c r="I61" s="15">
        <v>1</v>
      </c>
      <c r="J61" s="15" t="s">
        <v>16</v>
      </c>
      <c r="K61" s="15" t="s">
        <v>17</v>
      </c>
      <c r="L61" s="15" t="str">
        <f t="shared" si="0"/>
        <v>Single</v>
      </c>
      <c r="M61" s="15" t="str">
        <f t="shared" si="1"/>
        <v>Mrs Swati Nigam</v>
      </c>
      <c r="N61" s="15">
        <f t="shared" ca="1" si="2"/>
        <v>37</v>
      </c>
      <c r="O61" s="15" t="str">
        <f t="shared" si="3"/>
        <v>Medium</v>
      </c>
      <c r="P61" s="15" t="str">
        <f t="shared" si="4"/>
        <v>Non Parents</v>
      </c>
      <c r="Q61" s="17" cm="1">
        <f t="array" ref="Q61">_xlfn.IFS(J61="Bachelor",1,
J61="Master",2,
J61="PhD",3)</f>
        <v>1</v>
      </c>
    </row>
    <row r="62" spans="1:17" x14ac:dyDescent="0.25">
      <c r="A62" s="14">
        <v>161</v>
      </c>
      <c r="B62" s="15" t="s">
        <v>11</v>
      </c>
      <c r="C62" s="15" t="s">
        <v>200</v>
      </c>
      <c r="D62" s="15" t="s">
        <v>201</v>
      </c>
      <c r="E62" s="16">
        <v>30354</v>
      </c>
      <c r="F62" s="15" t="s">
        <v>14</v>
      </c>
      <c r="G62" s="15" t="s">
        <v>202</v>
      </c>
      <c r="H62" s="15">
        <v>85000</v>
      </c>
      <c r="I62" s="15">
        <v>2</v>
      </c>
      <c r="J62" s="15" t="s">
        <v>23</v>
      </c>
      <c r="K62" s="15" t="s">
        <v>17</v>
      </c>
      <c r="L62" s="15" t="str">
        <f t="shared" si="0"/>
        <v>Married</v>
      </c>
      <c r="M62" s="15" t="str">
        <f t="shared" si="1"/>
        <v>Mr Vivek Soni</v>
      </c>
      <c r="N62" s="15">
        <f t="shared" ca="1" si="2"/>
        <v>43</v>
      </c>
      <c r="O62" s="15" t="str">
        <f t="shared" si="3"/>
        <v>High</v>
      </c>
      <c r="P62" s="15" t="str">
        <f t="shared" si="4"/>
        <v>Parents</v>
      </c>
      <c r="Q62" s="17" cm="1">
        <f t="array" ref="Q62">_xlfn.IFS(J62="Bachelor",1,
J62="Master",2,
J62="PhD",3)</f>
        <v>2</v>
      </c>
    </row>
    <row r="63" spans="1:17" x14ac:dyDescent="0.25">
      <c r="A63" s="14">
        <v>162</v>
      </c>
      <c r="B63" s="15" t="s">
        <v>18</v>
      </c>
      <c r="C63" s="15" t="s">
        <v>203</v>
      </c>
      <c r="D63" s="15" t="s">
        <v>204</v>
      </c>
      <c r="E63" s="16">
        <v>33718</v>
      </c>
      <c r="F63" s="15" t="s">
        <v>21</v>
      </c>
      <c r="G63" s="15" t="s">
        <v>205</v>
      </c>
      <c r="H63" s="15">
        <v>62000</v>
      </c>
      <c r="I63" s="15">
        <v>0</v>
      </c>
      <c r="J63" s="15" t="s">
        <v>16</v>
      </c>
      <c r="K63" s="15" t="s">
        <v>24</v>
      </c>
      <c r="L63" s="15" t="str">
        <f t="shared" si="0"/>
        <v>Single</v>
      </c>
      <c r="M63" s="15" t="str">
        <f t="shared" si="1"/>
        <v>Ms Shruti Mathur</v>
      </c>
      <c r="N63" s="15">
        <f t="shared" ca="1" si="2"/>
        <v>34</v>
      </c>
      <c r="O63" s="15" t="str">
        <f t="shared" si="3"/>
        <v>Medium</v>
      </c>
      <c r="P63" s="15" t="str">
        <f t="shared" si="4"/>
        <v>Non Parents</v>
      </c>
      <c r="Q63" s="17" cm="1">
        <f t="array" ref="Q63">_xlfn.IFS(J63="Bachelor",1,
J63="Master",2,
J63="PhD",3)</f>
        <v>1</v>
      </c>
    </row>
    <row r="64" spans="1:17" x14ac:dyDescent="0.25">
      <c r="A64" s="14">
        <v>163</v>
      </c>
      <c r="B64" s="15" t="s">
        <v>11</v>
      </c>
      <c r="C64" s="15" t="s">
        <v>206</v>
      </c>
      <c r="D64" s="15" t="s">
        <v>207</v>
      </c>
      <c r="E64" s="16">
        <v>29841</v>
      </c>
      <c r="F64" s="15" t="s">
        <v>14</v>
      </c>
      <c r="G64" s="15" t="s">
        <v>208</v>
      </c>
      <c r="H64" s="15">
        <v>90000</v>
      </c>
      <c r="I64" s="15">
        <v>3</v>
      </c>
      <c r="J64" s="15" t="s">
        <v>35</v>
      </c>
      <c r="K64" s="15" t="s">
        <v>17</v>
      </c>
      <c r="L64" s="15" t="str">
        <f t="shared" si="0"/>
        <v>Married</v>
      </c>
      <c r="M64" s="15" t="str">
        <f t="shared" si="1"/>
        <v>Mr Tarun Oberoi</v>
      </c>
      <c r="N64" s="15">
        <f t="shared" ca="1" si="2"/>
        <v>44</v>
      </c>
      <c r="O64" s="15" t="str">
        <f t="shared" si="3"/>
        <v>High</v>
      </c>
      <c r="P64" s="15" t="str">
        <f t="shared" si="4"/>
        <v>Parents</v>
      </c>
      <c r="Q64" s="17" cm="1">
        <f t="array" ref="Q64">_xlfn.IFS(J64="Bachelor",1,
J64="Master",2,
J64="PhD",3)</f>
        <v>3</v>
      </c>
    </row>
    <row r="65" spans="1:17" x14ac:dyDescent="0.25">
      <c r="A65" s="14">
        <v>164</v>
      </c>
      <c r="B65" s="15" t="s">
        <v>28</v>
      </c>
      <c r="C65" s="15" t="s">
        <v>209</v>
      </c>
      <c r="D65" s="15" t="s">
        <v>210</v>
      </c>
      <c r="E65" s="16">
        <v>32140</v>
      </c>
      <c r="F65" s="15" t="s">
        <v>21</v>
      </c>
      <c r="G65" s="15" t="s">
        <v>211</v>
      </c>
      <c r="H65" s="15">
        <v>75000</v>
      </c>
      <c r="I65" s="15">
        <v>2</v>
      </c>
      <c r="J65" s="15" t="s">
        <v>23</v>
      </c>
      <c r="K65" s="15" t="s">
        <v>17</v>
      </c>
      <c r="L65" s="15" t="str">
        <f t="shared" si="0"/>
        <v>Married</v>
      </c>
      <c r="M65" s="15" t="str">
        <f t="shared" si="1"/>
        <v>Mrs Rachna Anand</v>
      </c>
      <c r="N65" s="15">
        <f t="shared" ca="1" si="2"/>
        <v>38</v>
      </c>
      <c r="O65" s="15" t="str">
        <f t="shared" si="3"/>
        <v>Medium</v>
      </c>
      <c r="P65" s="15" t="str">
        <f t="shared" si="4"/>
        <v>Parents</v>
      </c>
      <c r="Q65" s="17" cm="1">
        <f t="array" ref="Q65">_xlfn.IFS(J65="Bachelor",1,
J65="Master",2,
J65="PhD",3)</f>
        <v>2</v>
      </c>
    </row>
    <row r="66" spans="1:17" x14ac:dyDescent="0.25">
      <c r="A66" s="14">
        <v>165</v>
      </c>
      <c r="B66" s="15" t="s">
        <v>11</v>
      </c>
      <c r="C66" s="15" t="s">
        <v>212</v>
      </c>
      <c r="D66" s="15" t="s">
        <v>213</v>
      </c>
      <c r="E66" s="16">
        <v>30836</v>
      </c>
      <c r="F66" s="15" t="s">
        <v>14</v>
      </c>
      <c r="G66" s="15" t="s">
        <v>214</v>
      </c>
      <c r="H66" s="15">
        <v>82000</v>
      </c>
      <c r="I66" s="15">
        <v>2</v>
      </c>
      <c r="J66" s="15" t="s">
        <v>16</v>
      </c>
      <c r="K66" s="15" t="s">
        <v>17</v>
      </c>
      <c r="L66" s="15" t="str">
        <f t="shared" si="0"/>
        <v>Married</v>
      </c>
      <c r="M66" s="15" t="str">
        <f t="shared" si="1"/>
        <v>Mr Yash Bedi</v>
      </c>
      <c r="N66" s="15">
        <f t="shared" ca="1" si="2"/>
        <v>42</v>
      </c>
      <c r="O66" s="15" t="str">
        <f t="shared" si="3"/>
        <v>Medium</v>
      </c>
      <c r="P66" s="15" t="str">
        <f t="shared" si="4"/>
        <v>Parents</v>
      </c>
      <c r="Q66" s="17" cm="1">
        <f t="array" ref="Q66">_xlfn.IFS(J66="Bachelor",1,
J66="Master",2,
J66="PhD",3)</f>
        <v>1</v>
      </c>
    </row>
    <row r="67" spans="1:17" x14ac:dyDescent="0.25">
      <c r="A67" s="14">
        <v>166</v>
      </c>
      <c r="B67" s="15" t="s">
        <v>18</v>
      </c>
      <c r="C67" s="15" t="s">
        <v>215</v>
      </c>
      <c r="D67" s="15" t="s">
        <v>216</v>
      </c>
      <c r="E67" s="16">
        <v>34833</v>
      </c>
      <c r="F67" s="15" t="s">
        <v>21</v>
      </c>
      <c r="G67" s="15" t="s">
        <v>217</v>
      </c>
      <c r="H67" s="15">
        <v>60000</v>
      </c>
      <c r="I67" s="15">
        <v>0</v>
      </c>
      <c r="J67" s="15" t="s">
        <v>16</v>
      </c>
      <c r="K67" s="15" t="s">
        <v>24</v>
      </c>
      <c r="L67" s="15" t="str">
        <f t="shared" ref="L67:L130" si="5">IF(I67&gt;1,"Married","Single")</f>
        <v>Single</v>
      </c>
      <c r="M67" s="15" t="str">
        <f t="shared" ref="M67:M130" si="6">CONCATENATE(B67," ", C67," ", D67)</f>
        <v>Ms Muskan Puri</v>
      </c>
      <c r="N67" s="15">
        <f t="shared" ref="N67:N130" ca="1" si="7">DATEDIF(E67,TODAY(),"Y")</f>
        <v>31</v>
      </c>
      <c r="O67" s="15" t="str">
        <f t="shared" ref="O67:O130" si="8">IF(H67&lt;60000,"Low",IF(H67&lt;85000,"Medium","High"))</f>
        <v>Medium</v>
      </c>
      <c r="P67" s="15" t="str">
        <f t="shared" ref="P67:P130" si="9">IF(I67&gt;1,"Parents","Non Parents")</f>
        <v>Non Parents</v>
      </c>
      <c r="Q67" s="17" cm="1">
        <f t="array" ref="Q67">_xlfn.IFS(J67="Bachelor",1,
J67="Master",2,
J67="PhD",3)</f>
        <v>1</v>
      </c>
    </row>
    <row r="68" spans="1:17" x14ac:dyDescent="0.25">
      <c r="A68" s="14">
        <v>167</v>
      </c>
      <c r="B68" s="15" t="s">
        <v>11</v>
      </c>
      <c r="C68" s="15" t="s">
        <v>218</v>
      </c>
      <c r="D68" s="15" t="s">
        <v>219</v>
      </c>
      <c r="E68" s="16">
        <v>30263</v>
      </c>
      <c r="F68" s="15" t="s">
        <v>14</v>
      </c>
      <c r="G68" s="15" t="s">
        <v>220</v>
      </c>
      <c r="H68" s="15">
        <v>88000</v>
      </c>
      <c r="I68" s="15">
        <v>3</v>
      </c>
      <c r="J68" s="15" t="s">
        <v>23</v>
      </c>
      <c r="K68" s="15" t="s">
        <v>17</v>
      </c>
      <c r="L68" s="15" t="str">
        <f t="shared" si="5"/>
        <v>Married</v>
      </c>
      <c r="M68" s="15" t="str">
        <f t="shared" si="6"/>
        <v>Mr Ritvik Dhingra</v>
      </c>
      <c r="N68" s="15">
        <f t="shared" ca="1" si="7"/>
        <v>43</v>
      </c>
      <c r="O68" s="15" t="str">
        <f t="shared" si="8"/>
        <v>High</v>
      </c>
      <c r="P68" s="15" t="str">
        <f t="shared" si="9"/>
        <v>Parents</v>
      </c>
      <c r="Q68" s="17" cm="1">
        <f t="array" ref="Q68">_xlfn.IFS(J68="Bachelor",1,
J68="Master",2,
J68="PhD",3)</f>
        <v>2</v>
      </c>
    </row>
    <row r="69" spans="1:17" x14ac:dyDescent="0.25">
      <c r="A69" s="14">
        <v>168</v>
      </c>
      <c r="B69" s="15" t="s">
        <v>28</v>
      </c>
      <c r="C69" s="15" t="s">
        <v>221</v>
      </c>
      <c r="D69" s="15" t="s">
        <v>222</v>
      </c>
      <c r="E69" s="16">
        <v>32218</v>
      </c>
      <c r="F69" s="15" t="s">
        <v>21</v>
      </c>
      <c r="G69" s="15" t="s">
        <v>223</v>
      </c>
      <c r="H69" s="15">
        <v>74000</v>
      </c>
      <c r="I69" s="15">
        <v>1</v>
      </c>
      <c r="J69" s="15" t="s">
        <v>16</v>
      </c>
      <c r="K69" s="15" t="s">
        <v>17</v>
      </c>
      <c r="L69" s="15" t="str">
        <f t="shared" si="5"/>
        <v>Single</v>
      </c>
      <c r="M69" s="15" t="str">
        <f t="shared" si="6"/>
        <v>Mrs Sakshi Luthra</v>
      </c>
      <c r="N69" s="15">
        <f t="shared" ca="1" si="7"/>
        <v>38</v>
      </c>
      <c r="O69" s="15" t="str">
        <f t="shared" si="8"/>
        <v>Medium</v>
      </c>
      <c r="P69" s="15" t="str">
        <f t="shared" si="9"/>
        <v>Non Parents</v>
      </c>
      <c r="Q69" s="17" cm="1">
        <f t="array" ref="Q69">_xlfn.IFS(J69="Bachelor",1,
J69="Master",2,
J69="PhD",3)</f>
        <v>1</v>
      </c>
    </row>
    <row r="70" spans="1:17" x14ac:dyDescent="0.25">
      <c r="A70" s="14">
        <v>169</v>
      </c>
      <c r="B70" s="15" t="s">
        <v>11</v>
      </c>
      <c r="C70" s="15" t="s">
        <v>224</v>
      </c>
      <c r="D70" s="15" t="s">
        <v>225</v>
      </c>
      <c r="E70" s="16">
        <v>29454</v>
      </c>
      <c r="F70" s="15" t="s">
        <v>14</v>
      </c>
      <c r="G70" s="15" t="s">
        <v>226</v>
      </c>
      <c r="H70" s="15">
        <v>93000</v>
      </c>
      <c r="I70" s="15">
        <v>3</v>
      </c>
      <c r="J70" s="15" t="s">
        <v>23</v>
      </c>
      <c r="K70" s="15" t="s">
        <v>17</v>
      </c>
      <c r="L70" s="15" t="str">
        <f t="shared" si="5"/>
        <v>Married</v>
      </c>
      <c r="M70" s="15" t="str">
        <f t="shared" si="6"/>
        <v>Mr Parth Sabharwal</v>
      </c>
      <c r="N70" s="15">
        <f t="shared" ca="1" si="7"/>
        <v>45</v>
      </c>
      <c r="O70" s="15" t="str">
        <f t="shared" si="8"/>
        <v>High</v>
      </c>
      <c r="P70" s="15" t="str">
        <f t="shared" si="9"/>
        <v>Parents</v>
      </c>
      <c r="Q70" s="17" cm="1">
        <f t="array" ref="Q70">_xlfn.IFS(J70="Bachelor",1,
J70="Master",2,
J70="PhD",3)</f>
        <v>2</v>
      </c>
    </row>
    <row r="71" spans="1:17" x14ac:dyDescent="0.25">
      <c r="A71" s="14">
        <v>170</v>
      </c>
      <c r="B71" s="15" t="s">
        <v>18</v>
      </c>
      <c r="C71" s="15" t="s">
        <v>227</v>
      </c>
      <c r="D71" s="15" t="s">
        <v>228</v>
      </c>
      <c r="E71" s="16">
        <v>33999</v>
      </c>
      <c r="F71" s="15" t="s">
        <v>21</v>
      </c>
      <c r="G71" s="15" t="s">
        <v>229</v>
      </c>
      <c r="H71" s="15">
        <v>61000</v>
      </c>
      <c r="I71" s="15">
        <v>0</v>
      </c>
      <c r="J71" s="15" t="s">
        <v>16</v>
      </c>
      <c r="K71" s="15" t="s">
        <v>24</v>
      </c>
      <c r="L71" s="15" t="str">
        <f t="shared" si="5"/>
        <v>Single</v>
      </c>
      <c r="M71" s="15" t="str">
        <f t="shared" si="6"/>
        <v>Ms Neeti Dogra</v>
      </c>
      <c r="N71" s="15">
        <f t="shared" ca="1" si="7"/>
        <v>33</v>
      </c>
      <c r="O71" s="15" t="str">
        <f t="shared" si="8"/>
        <v>Medium</v>
      </c>
      <c r="P71" s="15" t="str">
        <f t="shared" si="9"/>
        <v>Non Parents</v>
      </c>
      <c r="Q71" s="17" cm="1">
        <f t="array" ref="Q71">_xlfn.IFS(J71="Bachelor",1,
J71="Master",2,
J71="PhD",3)</f>
        <v>1</v>
      </c>
    </row>
    <row r="72" spans="1:17" x14ac:dyDescent="0.25">
      <c r="A72" s="14">
        <v>171</v>
      </c>
      <c r="B72" s="15" t="s">
        <v>11</v>
      </c>
      <c r="C72" s="15" t="s">
        <v>230</v>
      </c>
      <c r="D72" s="15" t="s">
        <v>58</v>
      </c>
      <c r="E72" s="16">
        <v>31148</v>
      </c>
      <c r="F72" s="15" t="s">
        <v>14</v>
      </c>
      <c r="G72" s="15" t="s">
        <v>231</v>
      </c>
      <c r="H72" s="15">
        <v>84000</v>
      </c>
      <c r="I72" s="15">
        <v>2</v>
      </c>
      <c r="J72" s="15" t="s">
        <v>16</v>
      </c>
      <c r="K72" s="15" t="s">
        <v>17</v>
      </c>
      <c r="L72" s="15" t="str">
        <f t="shared" si="5"/>
        <v>Married</v>
      </c>
      <c r="M72" s="15" t="str">
        <f t="shared" si="6"/>
        <v>Mr Ronit Arora</v>
      </c>
      <c r="N72" s="15">
        <f t="shared" ca="1" si="7"/>
        <v>41</v>
      </c>
      <c r="O72" s="15" t="str">
        <f t="shared" si="8"/>
        <v>Medium</v>
      </c>
      <c r="P72" s="15" t="str">
        <f t="shared" si="9"/>
        <v>Parents</v>
      </c>
      <c r="Q72" s="17" cm="1">
        <f t="array" ref="Q72">_xlfn.IFS(J72="Bachelor",1,
J72="Master",2,
J72="PhD",3)</f>
        <v>1</v>
      </c>
    </row>
    <row r="73" spans="1:17" x14ac:dyDescent="0.25">
      <c r="A73" s="14">
        <v>172</v>
      </c>
      <c r="B73" s="15" t="s">
        <v>28</v>
      </c>
      <c r="C73" s="15" t="s">
        <v>232</v>
      </c>
      <c r="D73" s="15" t="s">
        <v>233</v>
      </c>
      <c r="E73" s="16">
        <v>32696</v>
      </c>
      <c r="F73" s="15" t="s">
        <v>21</v>
      </c>
      <c r="G73" s="15" t="s">
        <v>234</v>
      </c>
      <c r="H73" s="15">
        <v>72000</v>
      </c>
      <c r="I73" s="15">
        <v>1</v>
      </c>
      <c r="J73" s="15" t="s">
        <v>23</v>
      </c>
      <c r="K73" s="15" t="s">
        <v>17</v>
      </c>
      <c r="L73" s="15" t="str">
        <f t="shared" si="5"/>
        <v>Single</v>
      </c>
      <c r="M73" s="15" t="str">
        <f t="shared" si="6"/>
        <v>Mrs Trisha Malik</v>
      </c>
      <c r="N73" s="15">
        <f t="shared" ca="1" si="7"/>
        <v>36</v>
      </c>
      <c r="O73" s="15" t="str">
        <f t="shared" si="8"/>
        <v>Medium</v>
      </c>
      <c r="P73" s="15" t="str">
        <f t="shared" si="9"/>
        <v>Non Parents</v>
      </c>
      <c r="Q73" s="17" cm="1">
        <f t="array" ref="Q73">_xlfn.IFS(J73="Bachelor",1,
J73="Master",2,
J73="PhD",3)</f>
        <v>2</v>
      </c>
    </row>
    <row r="74" spans="1:17" x14ac:dyDescent="0.25">
      <c r="A74" s="14">
        <v>173</v>
      </c>
      <c r="B74" s="15" t="s">
        <v>11</v>
      </c>
      <c r="C74" s="15" t="s">
        <v>235</v>
      </c>
      <c r="D74" s="15" t="s">
        <v>236</v>
      </c>
      <c r="E74" s="16">
        <v>29873</v>
      </c>
      <c r="F74" s="15" t="s">
        <v>14</v>
      </c>
      <c r="G74" s="15" t="s">
        <v>237</v>
      </c>
      <c r="H74" s="15">
        <v>91000</v>
      </c>
      <c r="I74" s="15">
        <v>3</v>
      </c>
      <c r="J74" s="15" t="s">
        <v>23</v>
      </c>
      <c r="K74" s="15" t="s">
        <v>17</v>
      </c>
      <c r="L74" s="15" t="str">
        <f t="shared" si="5"/>
        <v>Married</v>
      </c>
      <c r="M74" s="15" t="str">
        <f t="shared" si="6"/>
        <v>Mr Kunal Chawla</v>
      </c>
      <c r="N74" s="15">
        <f t="shared" ca="1" si="7"/>
        <v>44</v>
      </c>
      <c r="O74" s="15" t="str">
        <f t="shared" si="8"/>
        <v>High</v>
      </c>
      <c r="P74" s="15" t="str">
        <f t="shared" si="9"/>
        <v>Parents</v>
      </c>
      <c r="Q74" s="17" cm="1">
        <f t="array" ref="Q74">_xlfn.IFS(J74="Bachelor",1,
J74="Master",2,
J74="PhD",3)</f>
        <v>2</v>
      </c>
    </row>
    <row r="75" spans="1:17" x14ac:dyDescent="0.25">
      <c r="A75" s="14">
        <v>174</v>
      </c>
      <c r="B75" s="15" t="s">
        <v>18</v>
      </c>
      <c r="C75" s="15" t="s">
        <v>238</v>
      </c>
      <c r="D75" s="15" t="s">
        <v>239</v>
      </c>
      <c r="E75" s="16">
        <v>34383</v>
      </c>
      <c r="F75" s="15" t="s">
        <v>21</v>
      </c>
      <c r="G75" s="15" t="s">
        <v>240</v>
      </c>
      <c r="H75" s="15">
        <v>59000</v>
      </c>
      <c r="I75" s="15">
        <v>0</v>
      </c>
      <c r="J75" s="15" t="s">
        <v>16</v>
      </c>
      <c r="K75" s="15" t="s">
        <v>24</v>
      </c>
      <c r="L75" s="15" t="str">
        <f t="shared" si="5"/>
        <v>Single</v>
      </c>
      <c r="M75" s="15" t="str">
        <f t="shared" si="6"/>
        <v>Ms Ira Suri</v>
      </c>
      <c r="N75" s="15">
        <f t="shared" ca="1" si="7"/>
        <v>32</v>
      </c>
      <c r="O75" s="15" t="str">
        <f t="shared" si="8"/>
        <v>Low</v>
      </c>
      <c r="P75" s="15" t="str">
        <f t="shared" si="9"/>
        <v>Non Parents</v>
      </c>
      <c r="Q75" s="17" cm="1">
        <f t="array" ref="Q75">_xlfn.IFS(J75="Bachelor",1,
J75="Master",2,
J75="PhD",3)</f>
        <v>1</v>
      </c>
    </row>
    <row r="76" spans="1:17" x14ac:dyDescent="0.25">
      <c r="A76" s="14">
        <v>175</v>
      </c>
      <c r="B76" s="15" t="s">
        <v>11</v>
      </c>
      <c r="C76" s="15" t="s">
        <v>241</v>
      </c>
      <c r="D76" s="15" t="s">
        <v>242</v>
      </c>
      <c r="E76" s="16">
        <v>30496</v>
      </c>
      <c r="F76" s="15" t="s">
        <v>14</v>
      </c>
      <c r="G76" s="15" t="s">
        <v>243</v>
      </c>
      <c r="H76" s="15">
        <v>86000</v>
      </c>
      <c r="I76" s="15">
        <v>2</v>
      </c>
      <c r="J76" s="15" t="s">
        <v>16</v>
      </c>
      <c r="K76" s="15" t="s">
        <v>17</v>
      </c>
      <c r="L76" s="15" t="str">
        <f t="shared" si="5"/>
        <v>Married</v>
      </c>
      <c r="M76" s="15" t="str">
        <f t="shared" si="6"/>
        <v>Mr Aryan Dua</v>
      </c>
      <c r="N76" s="15">
        <f t="shared" ca="1" si="7"/>
        <v>42</v>
      </c>
      <c r="O76" s="15" t="str">
        <f t="shared" si="8"/>
        <v>High</v>
      </c>
      <c r="P76" s="15" t="str">
        <f t="shared" si="9"/>
        <v>Parents</v>
      </c>
      <c r="Q76" s="17" cm="1">
        <f t="array" ref="Q76">_xlfn.IFS(J76="Bachelor",1,
J76="Master",2,
J76="PhD",3)</f>
        <v>1</v>
      </c>
    </row>
    <row r="77" spans="1:17" x14ac:dyDescent="0.25">
      <c r="A77" s="14">
        <v>176</v>
      </c>
      <c r="B77" s="15" t="s">
        <v>28</v>
      </c>
      <c r="C77" s="15" t="s">
        <v>244</v>
      </c>
      <c r="D77" s="15" t="s">
        <v>245</v>
      </c>
      <c r="E77" s="16">
        <v>32029</v>
      </c>
      <c r="F77" s="15" t="s">
        <v>21</v>
      </c>
      <c r="G77" s="15" t="s">
        <v>246</v>
      </c>
      <c r="H77" s="15">
        <v>74000</v>
      </c>
      <c r="I77" s="15">
        <v>2</v>
      </c>
      <c r="J77" s="15" t="s">
        <v>23</v>
      </c>
      <c r="K77" s="15" t="s">
        <v>17</v>
      </c>
      <c r="L77" s="15" t="str">
        <f t="shared" si="5"/>
        <v>Married</v>
      </c>
      <c r="M77" s="15" t="str">
        <f t="shared" si="6"/>
        <v>Mrs Naina Kohli</v>
      </c>
      <c r="N77" s="15">
        <f t="shared" ca="1" si="7"/>
        <v>38</v>
      </c>
      <c r="O77" s="15" t="str">
        <f t="shared" si="8"/>
        <v>Medium</v>
      </c>
      <c r="P77" s="15" t="str">
        <f t="shared" si="9"/>
        <v>Parents</v>
      </c>
      <c r="Q77" s="17" cm="1">
        <f t="array" ref="Q77">_xlfn.IFS(J77="Bachelor",1,
J77="Master",2,
J77="PhD",3)</f>
        <v>2</v>
      </c>
    </row>
    <row r="78" spans="1:17" x14ac:dyDescent="0.25">
      <c r="A78" s="14">
        <v>177</v>
      </c>
      <c r="B78" s="15" t="s">
        <v>11</v>
      </c>
      <c r="C78" s="15" t="s">
        <v>247</v>
      </c>
      <c r="D78" s="15" t="s">
        <v>248</v>
      </c>
      <c r="E78" s="16">
        <v>29577</v>
      </c>
      <c r="F78" s="15" t="s">
        <v>14</v>
      </c>
      <c r="G78" s="15" t="s">
        <v>249</v>
      </c>
      <c r="H78" s="15">
        <v>95000</v>
      </c>
      <c r="I78" s="15">
        <v>4</v>
      </c>
      <c r="J78" s="15" t="s">
        <v>35</v>
      </c>
      <c r="K78" s="15" t="s">
        <v>17</v>
      </c>
      <c r="L78" s="15" t="str">
        <f t="shared" si="5"/>
        <v>Married</v>
      </c>
      <c r="M78" s="15" t="str">
        <f t="shared" si="6"/>
        <v>Mr Rohit Arneja</v>
      </c>
      <c r="N78" s="15">
        <f t="shared" ca="1" si="7"/>
        <v>45</v>
      </c>
      <c r="O78" s="15" t="str">
        <f t="shared" si="8"/>
        <v>High</v>
      </c>
      <c r="P78" s="15" t="str">
        <f t="shared" si="9"/>
        <v>Parents</v>
      </c>
      <c r="Q78" s="17" cm="1">
        <f t="array" ref="Q78">_xlfn.IFS(J78="Bachelor",1,
J78="Master",2,
J78="PhD",3)</f>
        <v>3</v>
      </c>
    </row>
    <row r="79" spans="1:17" x14ac:dyDescent="0.25">
      <c r="A79" s="14">
        <v>178</v>
      </c>
      <c r="B79" s="15" t="s">
        <v>18</v>
      </c>
      <c r="C79" s="15" t="s">
        <v>250</v>
      </c>
      <c r="D79" s="15" t="s">
        <v>251</v>
      </c>
      <c r="E79" s="16">
        <v>33729</v>
      </c>
      <c r="F79" s="15" t="s">
        <v>21</v>
      </c>
      <c r="G79" s="15" t="s">
        <v>252</v>
      </c>
      <c r="H79" s="15">
        <v>62000</v>
      </c>
      <c r="I79" s="15">
        <v>0</v>
      </c>
      <c r="J79" s="15" t="s">
        <v>16</v>
      </c>
      <c r="K79" s="15" t="s">
        <v>24</v>
      </c>
      <c r="L79" s="15" t="str">
        <f t="shared" si="5"/>
        <v>Single</v>
      </c>
      <c r="M79" s="15" t="str">
        <f t="shared" si="6"/>
        <v>Ms Tanvi Sachdeva</v>
      </c>
      <c r="N79" s="15">
        <f t="shared" ca="1" si="7"/>
        <v>34</v>
      </c>
      <c r="O79" s="15" t="str">
        <f t="shared" si="8"/>
        <v>Medium</v>
      </c>
      <c r="P79" s="15" t="str">
        <f t="shared" si="9"/>
        <v>Non Parents</v>
      </c>
      <c r="Q79" s="17" cm="1">
        <f t="array" ref="Q79">_xlfn.IFS(J79="Bachelor",1,
J79="Master",2,
J79="PhD",3)</f>
        <v>1</v>
      </c>
    </row>
    <row r="80" spans="1:17" x14ac:dyDescent="0.25">
      <c r="A80" s="14">
        <v>179</v>
      </c>
      <c r="B80" s="15" t="s">
        <v>11</v>
      </c>
      <c r="C80" s="15" t="s">
        <v>253</v>
      </c>
      <c r="D80" s="15" t="s">
        <v>254</v>
      </c>
      <c r="E80" s="16">
        <v>30922</v>
      </c>
      <c r="F80" s="15" t="s">
        <v>14</v>
      </c>
      <c r="G80" s="15" t="s">
        <v>255</v>
      </c>
      <c r="H80" s="15">
        <v>83000</v>
      </c>
      <c r="I80" s="15">
        <v>2</v>
      </c>
      <c r="J80" s="15" t="s">
        <v>23</v>
      </c>
      <c r="K80" s="15" t="s">
        <v>17</v>
      </c>
      <c r="L80" s="15" t="str">
        <f t="shared" si="5"/>
        <v>Married</v>
      </c>
      <c r="M80" s="15" t="str">
        <f t="shared" si="6"/>
        <v>Mr Dev Bagga</v>
      </c>
      <c r="N80" s="15">
        <f t="shared" ca="1" si="7"/>
        <v>41</v>
      </c>
      <c r="O80" s="15" t="str">
        <f t="shared" si="8"/>
        <v>Medium</v>
      </c>
      <c r="P80" s="15" t="str">
        <f t="shared" si="9"/>
        <v>Parents</v>
      </c>
      <c r="Q80" s="17" cm="1">
        <f t="array" ref="Q80">_xlfn.IFS(J80="Bachelor",1,
J80="Master",2,
J80="PhD",3)</f>
        <v>2</v>
      </c>
    </row>
    <row r="81" spans="1:17" x14ac:dyDescent="0.25">
      <c r="A81" s="14">
        <v>180</v>
      </c>
      <c r="B81" s="15" t="s">
        <v>28</v>
      </c>
      <c r="C81" s="15" t="s">
        <v>256</v>
      </c>
      <c r="D81" s="15" t="s">
        <v>257</v>
      </c>
      <c r="E81" s="16">
        <v>32462</v>
      </c>
      <c r="F81" s="15" t="s">
        <v>21</v>
      </c>
      <c r="G81" s="15" t="s">
        <v>258</v>
      </c>
      <c r="H81" s="15">
        <v>73000</v>
      </c>
      <c r="I81" s="15">
        <v>1</v>
      </c>
      <c r="J81" s="15" t="s">
        <v>16</v>
      </c>
      <c r="K81" s="15" t="s">
        <v>17</v>
      </c>
      <c r="L81" s="15" t="str">
        <f t="shared" si="5"/>
        <v>Single</v>
      </c>
      <c r="M81" s="15" t="str">
        <f t="shared" si="6"/>
        <v>Mrs Kanika Nanda</v>
      </c>
      <c r="N81" s="15">
        <f t="shared" ca="1" si="7"/>
        <v>37</v>
      </c>
      <c r="O81" s="15" t="str">
        <f t="shared" si="8"/>
        <v>Medium</v>
      </c>
      <c r="P81" s="15" t="str">
        <f t="shared" si="9"/>
        <v>Non Parents</v>
      </c>
      <c r="Q81" s="17" cm="1">
        <f t="array" ref="Q81">_xlfn.IFS(J81="Bachelor",1,
J81="Master",2,
J81="PhD",3)</f>
        <v>1</v>
      </c>
    </row>
    <row r="82" spans="1:17" x14ac:dyDescent="0.25">
      <c r="A82" s="14">
        <v>181</v>
      </c>
      <c r="B82" s="15" t="s">
        <v>11</v>
      </c>
      <c r="C82" s="15" t="s">
        <v>259</v>
      </c>
      <c r="D82" s="15" t="s">
        <v>260</v>
      </c>
      <c r="E82" s="16">
        <v>29964</v>
      </c>
      <c r="F82" s="15" t="s">
        <v>14</v>
      </c>
      <c r="G82" s="15" t="s">
        <v>261</v>
      </c>
      <c r="H82" s="15">
        <v>89000</v>
      </c>
      <c r="I82" s="15">
        <v>3</v>
      </c>
      <c r="J82" s="15" t="s">
        <v>23</v>
      </c>
      <c r="K82" s="15" t="s">
        <v>17</v>
      </c>
      <c r="L82" s="15" t="str">
        <f t="shared" si="5"/>
        <v>Married</v>
      </c>
      <c r="M82" s="15" t="str">
        <f t="shared" si="6"/>
        <v>Mr Sumit Khurana</v>
      </c>
      <c r="N82" s="15">
        <f t="shared" ca="1" si="7"/>
        <v>44</v>
      </c>
      <c r="O82" s="15" t="str">
        <f t="shared" si="8"/>
        <v>High</v>
      </c>
      <c r="P82" s="15" t="str">
        <f t="shared" si="9"/>
        <v>Parents</v>
      </c>
      <c r="Q82" s="17" cm="1">
        <f t="array" ref="Q82">_xlfn.IFS(J82="Bachelor",1,
J82="Master",2,
J82="PhD",3)</f>
        <v>2</v>
      </c>
    </row>
    <row r="83" spans="1:17" x14ac:dyDescent="0.25">
      <c r="A83" s="14">
        <v>182</v>
      </c>
      <c r="B83" s="15" t="s">
        <v>18</v>
      </c>
      <c r="C83" s="15" t="s">
        <v>262</v>
      </c>
      <c r="D83" s="15" t="s">
        <v>263</v>
      </c>
      <c r="E83" s="16">
        <v>34079</v>
      </c>
      <c r="F83" s="15" t="s">
        <v>21</v>
      </c>
      <c r="G83" s="15" t="s">
        <v>264</v>
      </c>
      <c r="H83" s="15">
        <v>61000</v>
      </c>
      <c r="I83" s="15">
        <v>0</v>
      </c>
      <c r="J83" s="15" t="s">
        <v>16</v>
      </c>
      <c r="K83" s="15" t="s">
        <v>24</v>
      </c>
      <c r="L83" s="15" t="str">
        <f t="shared" si="5"/>
        <v>Single</v>
      </c>
      <c r="M83" s="15" t="str">
        <f t="shared" si="6"/>
        <v>Ms Ayesha Grover</v>
      </c>
      <c r="N83" s="15">
        <f t="shared" ca="1" si="7"/>
        <v>33</v>
      </c>
      <c r="O83" s="15" t="str">
        <f t="shared" si="8"/>
        <v>Medium</v>
      </c>
      <c r="P83" s="15" t="str">
        <f t="shared" si="9"/>
        <v>Non Parents</v>
      </c>
      <c r="Q83" s="17" cm="1">
        <f t="array" ref="Q83">_xlfn.IFS(J83="Bachelor",1,
J83="Master",2,
J83="PhD",3)</f>
        <v>1</v>
      </c>
    </row>
    <row r="84" spans="1:17" x14ac:dyDescent="0.25">
      <c r="A84" s="14">
        <v>183</v>
      </c>
      <c r="B84" s="15" t="s">
        <v>11</v>
      </c>
      <c r="C84" s="15" t="s">
        <v>265</v>
      </c>
      <c r="D84" s="15" t="s">
        <v>266</v>
      </c>
      <c r="E84" s="16">
        <v>29769</v>
      </c>
      <c r="F84" s="15" t="s">
        <v>14</v>
      </c>
      <c r="G84" s="15" t="s">
        <v>267</v>
      </c>
      <c r="H84" s="15">
        <v>91000</v>
      </c>
      <c r="I84" s="15">
        <v>2</v>
      </c>
      <c r="J84" s="15" t="s">
        <v>35</v>
      </c>
      <c r="K84" s="15" t="s">
        <v>17</v>
      </c>
      <c r="L84" s="15" t="str">
        <f t="shared" si="5"/>
        <v>Married</v>
      </c>
      <c r="M84" s="15" t="str">
        <f t="shared" si="6"/>
        <v>Mr Kapil Wadhwa</v>
      </c>
      <c r="N84" s="15">
        <f t="shared" ca="1" si="7"/>
        <v>44</v>
      </c>
      <c r="O84" s="15" t="str">
        <f t="shared" si="8"/>
        <v>High</v>
      </c>
      <c r="P84" s="15" t="str">
        <f t="shared" si="9"/>
        <v>Parents</v>
      </c>
      <c r="Q84" s="17" cm="1">
        <f t="array" ref="Q84">_xlfn.IFS(J84="Bachelor",1,
J84="Master",2,
J84="PhD",3)</f>
        <v>3</v>
      </c>
    </row>
    <row r="85" spans="1:17" x14ac:dyDescent="0.25">
      <c r="A85" s="14">
        <v>184</v>
      </c>
      <c r="B85" s="15" t="s">
        <v>28</v>
      </c>
      <c r="C85" s="15" t="s">
        <v>268</v>
      </c>
      <c r="D85" s="15" t="s">
        <v>269</v>
      </c>
      <c r="E85" s="16">
        <v>32081</v>
      </c>
      <c r="F85" s="15" t="s">
        <v>21</v>
      </c>
      <c r="G85" s="15" t="s">
        <v>270</v>
      </c>
      <c r="H85" s="15">
        <v>75000</v>
      </c>
      <c r="I85" s="15">
        <v>2</v>
      </c>
      <c r="J85" s="15" t="s">
        <v>23</v>
      </c>
      <c r="K85" s="15" t="s">
        <v>17</v>
      </c>
      <c r="L85" s="15" t="str">
        <f t="shared" si="5"/>
        <v>Married</v>
      </c>
      <c r="M85" s="15" t="str">
        <f t="shared" si="6"/>
        <v>Mrs Shivani Saluja</v>
      </c>
      <c r="N85" s="15">
        <f t="shared" ca="1" si="7"/>
        <v>38</v>
      </c>
      <c r="O85" s="15" t="str">
        <f t="shared" si="8"/>
        <v>Medium</v>
      </c>
      <c r="P85" s="15" t="str">
        <f t="shared" si="9"/>
        <v>Parents</v>
      </c>
      <c r="Q85" s="17" cm="1">
        <f t="array" ref="Q85">_xlfn.IFS(J85="Bachelor",1,
J85="Master",2,
J85="PhD",3)</f>
        <v>2</v>
      </c>
    </row>
    <row r="86" spans="1:17" x14ac:dyDescent="0.25">
      <c r="A86" s="14">
        <v>185</v>
      </c>
      <c r="B86" s="15" t="s">
        <v>11</v>
      </c>
      <c r="C86" s="15" t="s">
        <v>271</v>
      </c>
      <c r="D86" s="15" t="s">
        <v>272</v>
      </c>
      <c r="E86" s="16">
        <v>30758</v>
      </c>
      <c r="F86" s="15" t="s">
        <v>14</v>
      </c>
      <c r="G86" s="15" t="s">
        <v>273</v>
      </c>
      <c r="H86" s="15">
        <v>84000</v>
      </c>
      <c r="I86" s="15">
        <v>2</v>
      </c>
      <c r="J86" s="15" t="s">
        <v>16</v>
      </c>
      <c r="K86" s="15" t="s">
        <v>17</v>
      </c>
      <c r="L86" s="15" t="str">
        <f t="shared" si="5"/>
        <v>Married</v>
      </c>
      <c r="M86" s="15" t="str">
        <f t="shared" si="6"/>
        <v>Mr Nikhil Juneja</v>
      </c>
      <c r="N86" s="15">
        <f t="shared" ca="1" si="7"/>
        <v>42</v>
      </c>
      <c r="O86" s="15" t="str">
        <f t="shared" si="8"/>
        <v>Medium</v>
      </c>
      <c r="P86" s="15" t="str">
        <f t="shared" si="9"/>
        <v>Parents</v>
      </c>
      <c r="Q86" s="17" cm="1">
        <f t="array" ref="Q86">_xlfn.IFS(J86="Bachelor",1,
J86="Master",2,
J86="PhD",3)</f>
        <v>1</v>
      </c>
    </row>
    <row r="87" spans="1:17" x14ac:dyDescent="0.25">
      <c r="A87" s="14">
        <v>186</v>
      </c>
      <c r="B87" s="15" t="s">
        <v>18</v>
      </c>
      <c r="C87" s="15" t="s">
        <v>274</v>
      </c>
      <c r="D87" s="15" t="s">
        <v>275</v>
      </c>
      <c r="E87" s="16">
        <v>34508</v>
      </c>
      <c r="F87" s="15" t="s">
        <v>21</v>
      </c>
      <c r="G87" s="15" t="s">
        <v>276</v>
      </c>
      <c r="H87" s="15">
        <v>60000</v>
      </c>
      <c r="I87" s="15">
        <v>0</v>
      </c>
      <c r="J87" s="15" t="s">
        <v>16</v>
      </c>
      <c r="K87" s="15" t="s">
        <v>24</v>
      </c>
      <c r="L87" s="15" t="str">
        <f t="shared" si="5"/>
        <v>Single</v>
      </c>
      <c r="M87" s="15" t="str">
        <f t="shared" si="6"/>
        <v>Ms Priyanka Ahuja</v>
      </c>
      <c r="N87" s="15">
        <f t="shared" ca="1" si="7"/>
        <v>31</v>
      </c>
      <c r="O87" s="15" t="str">
        <f t="shared" si="8"/>
        <v>Medium</v>
      </c>
      <c r="P87" s="15" t="str">
        <f t="shared" si="9"/>
        <v>Non Parents</v>
      </c>
      <c r="Q87" s="17" cm="1">
        <f t="array" ref="Q87">_xlfn.IFS(J87="Bachelor",1,
J87="Master",2,
J87="PhD",3)</f>
        <v>1</v>
      </c>
    </row>
    <row r="88" spans="1:17" x14ac:dyDescent="0.25">
      <c r="A88" s="14">
        <v>187</v>
      </c>
      <c r="B88" s="15" t="s">
        <v>11</v>
      </c>
      <c r="C88" s="15" t="s">
        <v>277</v>
      </c>
      <c r="D88" s="15" t="s">
        <v>278</v>
      </c>
      <c r="E88" s="16">
        <v>29474</v>
      </c>
      <c r="F88" s="15" t="s">
        <v>14</v>
      </c>
      <c r="G88" s="15" t="s">
        <v>279</v>
      </c>
      <c r="H88" s="15">
        <v>93000</v>
      </c>
      <c r="I88" s="15">
        <v>3</v>
      </c>
      <c r="J88" s="15" t="s">
        <v>23</v>
      </c>
      <c r="K88" s="15" t="s">
        <v>17</v>
      </c>
      <c r="L88" s="15" t="str">
        <f t="shared" si="5"/>
        <v>Married</v>
      </c>
      <c r="M88" s="15" t="str">
        <f t="shared" si="6"/>
        <v>Mr Hitesh Behl</v>
      </c>
      <c r="N88" s="15">
        <f t="shared" ca="1" si="7"/>
        <v>45</v>
      </c>
      <c r="O88" s="15" t="str">
        <f t="shared" si="8"/>
        <v>High</v>
      </c>
      <c r="P88" s="15" t="str">
        <f t="shared" si="9"/>
        <v>Parents</v>
      </c>
      <c r="Q88" s="17" cm="1">
        <f t="array" ref="Q88">_xlfn.IFS(J88="Bachelor",1,
J88="Master",2,
J88="PhD",3)</f>
        <v>2</v>
      </c>
    </row>
    <row r="89" spans="1:17" x14ac:dyDescent="0.25">
      <c r="A89" s="14">
        <v>188</v>
      </c>
      <c r="B89" s="15" t="s">
        <v>28</v>
      </c>
      <c r="C89" s="15" t="s">
        <v>280</v>
      </c>
      <c r="D89" s="15" t="s">
        <v>281</v>
      </c>
      <c r="E89" s="16">
        <v>32170</v>
      </c>
      <c r="F89" s="15" t="s">
        <v>21</v>
      </c>
      <c r="G89" s="15" t="s">
        <v>282</v>
      </c>
      <c r="H89" s="15">
        <v>72000</v>
      </c>
      <c r="I89" s="15">
        <v>1</v>
      </c>
      <c r="J89" s="15" t="s">
        <v>16</v>
      </c>
      <c r="K89" s="15" t="s">
        <v>17</v>
      </c>
      <c r="L89" s="15" t="str">
        <f t="shared" si="5"/>
        <v>Single</v>
      </c>
      <c r="M89" s="15" t="str">
        <f t="shared" si="6"/>
        <v>Mrs Garima Talwar</v>
      </c>
      <c r="N89" s="15">
        <f t="shared" ca="1" si="7"/>
        <v>38</v>
      </c>
      <c r="O89" s="15" t="str">
        <f t="shared" si="8"/>
        <v>Medium</v>
      </c>
      <c r="P89" s="15" t="str">
        <f t="shared" si="9"/>
        <v>Non Parents</v>
      </c>
      <c r="Q89" s="17" cm="1">
        <f t="array" ref="Q89">_xlfn.IFS(J89="Bachelor",1,
J89="Master",2,
J89="PhD",3)</f>
        <v>1</v>
      </c>
    </row>
    <row r="90" spans="1:17" x14ac:dyDescent="0.25">
      <c r="A90" s="14">
        <v>189</v>
      </c>
      <c r="B90" s="15" t="s">
        <v>11</v>
      </c>
      <c r="C90" s="15" t="s">
        <v>283</v>
      </c>
      <c r="D90" s="15" t="s">
        <v>284</v>
      </c>
      <c r="E90" s="16">
        <v>30442</v>
      </c>
      <c r="F90" s="15" t="s">
        <v>14</v>
      </c>
      <c r="G90" s="15" t="s">
        <v>285</v>
      </c>
      <c r="H90" s="15">
        <v>85000</v>
      </c>
      <c r="I90" s="15">
        <v>2</v>
      </c>
      <c r="J90" s="15" t="s">
        <v>23</v>
      </c>
      <c r="K90" s="15" t="s">
        <v>17</v>
      </c>
      <c r="L90" s="15" t="str">
        <f t="shared" si="5"/>
        <v>Married</v>
      </c>
      <c r="M90" s="15" t="str">
        <f t="shared" si="6"/>
        <v>Mr Saurabh Kalra</v>
      </c>
      <c r="N90" s="15">
        <f t="shared" ca="1" si="7"/>
        <v>43</v>
      </c>
      <c r="O90" s="15" t="str">
        <f t="shared" si="8"/>
        <v>High</v>
      </c>
      <c r="P90" s="15" t="str">
        <f t="shared" si="9"/>
        <v>Parents</v>
      </c>
      <c r="Q90" s="17" cm="1">
        <f t="array" ref="Q90">_xlfn.IFS(J90="Bachelor",1,
J90="Master",2,
J90="PhD",3)</f>
        <v>2</v>
      </c>
    </row>
    <row r="91" spans="1:17" x14ac:dyDescent="0.25">
      <c r="A91" s="14">
        <v>190</v>
      </c>
      <c r="B91" s="15" t="s">
        <v>18</v>
      </c>
      <c r="C91" s="15" t="s">
        <v>286</v>
      </c>
      <c r="D91" s="15" t="s">
        <v>287</v>
      </c>
      <c r="E91" s="16">
        <v>33831</v>
      </c>
      <c r="F91" s="15" t="s">
        <v>21</v>
      </c>
      <c r="G91" s="15" t="s">
        <v>288</v>
      </c>
      <c r="H91" s="15">
        <v>62000</v>
      </c>
      <c r="I91" s="15">
        <v>0</v>
      </c>
      <c r="J91" s="15" t="s">
        <v>16</v>
      </c>
      <c r="K91" s="15" t="s">
        <v>24</v>
      </c>
      <c r="L91" s="15" t="str">
        <f t="shared" si="5"/>
        <v>Single</v>
      </c>
      <c r="M91" s="15" t="str">
        <f t="shared" si="6"/>
        <v>Ms Ankita Rishi</v>
      </c>
      <c r="N91" s="15">
        <f t="shared" ca="1" si="7"/>
        <v>33</v>
      </c>
      <c r="O91" s="15" t="str">
        <f t="shared" si="8"/>
        <v>Medium</v>
      </c>
      <c r="P91" s="15" t="str">
        <f t="shared" si="9"/>
        <v>Non Parents</v>
      </c>
      <c r="Q91" s="17" cm="1">
        <f t="array" ref="Q91">_xlfn.IFS(J91="Bachelor",1,
J91="Master",2,
J91="PhD",3)</f>
        <v>1</v>
      </c>
    </row>
    <row r="92" spans="1:17" x14ac:dyDescent="0.25">
      <c r="A92" s="14">
        <v>191</v>
      </c>
      <c r="B92" s="15" t="s">
        <v>11</v>
      </c>
      <c r="C92" s="15" t="s">
        <v>289</v>
      </c>
      <c r="D92" s="15" t="s">
        <v>290</v>
      </c>
      <c r="E92" s="16">
        <v>29911</v>
      </c>
      <c r="F92" s="15" t="s">
        <v>14</v>
      </c>
      <c r="G92" s="15" t="s">
        <v>291</v>
      </c>
      <c r="H92" s="15">
        <v>90000</v>
      </c>
      <c r="I92" s="15">
        <v>3</v>
      </c>
      <c r="J92" s="15" t="s">
        <v>35</v>
      </c>
      <c r="K92" s="15" t="s">
        <v>17</v>
      </c>
      <c r="L92" s="15" t="str">
        <f t="shared" si="5"/>
        <v>Married</v>
      </c>
      <c r="M92" s="15" t="str">
        <f t="shared" si="6"/>
        <v>Mr Harshit Pahwa</v>
      </c>
      <c r="N92" s="15">
        <f t="shared" ca="1" si="7"/>
        <v>44</v>
      </c>
      <c r="O92" s="15" t="str">
        <f t="shared" si="8"/>
        <v>High</v>
      </c>
      <c r="P92" s="15" t="str">
        <f t="shared" si="9"/>
        <v>Parents</v>
      </c>
      <c r="Q92" s="17" cm="1">
        <f t="array" ref="Q92">_xlfn.IFS(J92="Bachelor",1,
J92="Master",2,
J92="PhD",3)</f>
        <v>3</v>
      </c>
    </row>
    <row r="93" spans="1:17" x14ac:dyDescent="0.25">
      <c r="A93" s="14">
        <v>192</v>
      </c>
      <c r="B93" s="15" t="s">
        <v>28</v>
      </c>
      <c r="C93" s="15" t="s">
        <v>292</v>
      </c>
      <c r="D93" s="15" t="s">
        <v>293</v>
      </c>
      <c r="E93" s="16">
        <v>32548</v>
      </c>
      <c r="F93" s="15" t="s">
        <v>21</v>
      </c>
      <c r="G93" s="15" t="s">
        <v>294</v>
      </c>
      <c r="H93" s="15">
        <v>74000</v>
      </c>
      <c r="I93" s="15">
        <v>1</v>
      </c>
      <c r="J93" s="15" t="s">
        <v>23</v>
      </c>
      <c r="K93" s="15" t="s">
        <v>17</v>
      </c>
      <c r="L93" s="15" t="str">
        <f t="shared" si="5"/>
        <v>Single</v>
      </c>
      <c r="M93" s="15" t="str">
        <f t="shared" si="6"/>
        <v>Mrs Rupal Dang</v>
      </c>
      <c r="N93" s="15">
        <f t="shared" ca="1" si="7"/>
        <v>37</v>
      </c>
      <c r="O93" s="15" t="str">
        <f t="shared" si="8"/>
        <v>Medium</v>
      </c>
      <c r="P93" s="15" t="str">
        <f t="shared" si="9"/>
        <v>Non Parents</v>
      </c>
      <c r="Q93" s="17" cm="1">
        <f t="array" ref="Q93">_xlfn.IFS(J93="Bachelor",1,
J93="Master",2,
J93="PhD",3)</f>
        <v>2</v>
      </c>
    </row>
    <row r="94" spans="1:17" x14ac:dyDescent="0.25">
      <c r="A94" s="14">
        <v>193</v>
      </c>
      <c r="B94" s="15" t="s">
        <v>11</v>
      </c>
      <c r="C94" s="15" t="s">
        <v>295</v>
      </c>
      <c r="D94" s="15" t="s">
        <v>296</v>
      </c>
      <c r="E94" s="16">
        <v>30877</v>
      </c>
      <c r="F94" s="15" t="s">
        <v>14</v>
      </c>
      <c r="G94" s="15" t="s">
        <v>297</v>
      </c>
      <c r="H94" s="15">
        <v>82000</v>
      </c>
      <c r="I94" s="15">
        <v>2</v>
      </c>
      <c r="J94" s="15" t="s">
        <v>16</v>
      </c>
      <c r="K94" s="15" t="s">
        <v>17</v>
      </c>
      <c r="L94" s="15" t="str">
        <f t="shared" si="5"/>
        <v>Married</v>
      </c>
      <c r="M94" s="15" t="str">
        <f t="shared" si="6"/>
        <v>Mr Aditya Sehgal</v>
      </c>
      <c r="N94" s="15">
        <f t="shared" ca="1" si="7"/>
        <v>41</v>
      </c>
      <c r="O94" s="15" t="str">
        <f t="shared" si="8"/>
        <v>Medium</v>
      </c>
      <c r="P94" s="15" t="str">
        <f t="shared" si="9"/>
        <v>Parents</v>
      </c>
      <c r="Q94" s="17" cm="1">
        <f t="array" ref="Q94">_xlfn.IFS(J94="Bachelor",1,
J94="Master",2,
J94="PhD",3)</f>
        <v>1</v>
      </c>
    </row>
    <row r="95" spans="1:17" x14ac:dyDescent="0.25">
      <c r="A95" s="14">
        <v>194</v>
      </c>
      <c r="B95" s="15" t="s">
        <v>18</v>
      </c>
      <c r="C95" s="15" t="s">
        <v>298</v>
      </c>
      <c r="D95" s="15" t="s">
        <v>248</v>
      </c>
      <c r="E95" s="16">
        <v>34260</v>
      </c>
      <c r="F95" s="15" t="s">
        <v>21</v>
      </c>
      <c r="G95" s="15" t="s">
        <v>299</v>
      </c>
      <c r="H95" s="15">
        <v>60000</v>
      </c>
      <c r="I95" s="15">
        <v>0</v>
      </c>
      <c r="J95" s="15" t="s">
        <v>16</v>
      </c>
      <c r="K95" s="15" t="s">
        <v>24</v>
      </c>
      <c r="L95" s="15" t="str">
        <f t="shared" si="5"/>
        <v>Single</v>
      </c>
      <c r="M95" s="15" t="str">
        <f t="shared" si="6"/>
        <v>Ms Mitali Arneja</v>
      </c>
      <c r="N95" s="15">
        <f t="shared" ca="1" si="7"/>
        <v>32</v>
      </c>
      <c r="O95" s="15" t="str">
        <f t="shared" si="8"/>
        <v>Medium</v>
      </c>
      <c r="P95" s="15" t="str">
        <f t="shared" si="9"/>
        <v>Non Parents</v>
      </c>
      <c r="Q95" s="17" cm="1">
        <f t="array" ref="Q95">_xlfn.IFS(J95="Bachelor",1,
J95="Master",2,
J95="PhD",3)</f>
        <v>1</v>
      </c>
    </row>
    <row r="96" spans="1:17" x14ac:dyDescent="0.25">
      <c r="A96" s="14">
        <v>195</v>
      </c>
      <c r="B96" s="15" t="s">
        <v>11</v>
      </c>
      <c r="C96" s="15" t="s">
        <v>300</v>
      </c>
      <c r="D96" s="15" t="s">
        <v>301</v>
      </c>
      <c r="E96" s="16">
        <v>30067</v>
      </c>
      <c r="F96" s="15" t="s">
        <v>14</v>
      </c>
      <c r="G96" s="15" t="s">
        <v>302</v>
      </c>
      <c r="H96" s="15">
        <v>88000</v>
      </c>
      <c r="I96" s="15">
        <v>3</v>
      </c>
      <c r="J96" s="15" t="s">
        <v>23</v>
      </c>
      <c r="K96" s="15" t="s">
        <v>17</v>
      </c>
      <c r="L96" s="15" t="str">
        <f t="shared" si="5"/>
        <v>Married</v>
      </c>
      <c r="M96" s="15" t="str">
        <f t="shared" si="6"/>
        <v>Mr Siddharth Tandon</v>
      </c>
      <c r="N96" s="15">
        <f t="shared" ca="1" si="7"/>
        <v>44</v>
      </c>
      <c r="O96" s="15" t="str">
        <f t="shared" si="8"/>
        <v>High</v>
      </c>
      <c r="P96" s="15" t="str">
        <f t="shared" si="9"/>
        <v>Parents</v>
      </c>
      <c r="Q96" s="17" cm="1">
        <f t="array" ref="Q96">_xlfn.IFS(J96="Bachelor",1,
J96="Master",2,
J96="PhD",3)</f>
        <v>2</v>
      </c>
    </row>
    <row r="97" spans="1:17" x14ac:dyDescent="0.25">
      <c r="A97" s="14">
        <v>196</v>
      </c>
      <c r="B97" s="15" t="s">
        <v>28</v>
      </c>
      <c r="C97" s="15" t="s">
        <v>303</v>
      </c>
      <c r="D97" s="15" t="s">
        <v>304</v>
      </c>
      <c r="E97" s="16">
        <v>32114</v>
      </c>
      <c r="F97" s="15" t="s">
        <v>21</v>
      </c>
      <c r="G97" s="15" t="s">
        <v>305</v>
      </c>
      <c r="H97" s="15">
        <v>73000</v>
      </c>
      <c r="I97" s="15">
        <v>2</v>
      </c>
      <c r="J97" s="15" t="s">
        <v>16</v>
      </c>
      <c r="K97" s="15" t="s">
        <v>17</v>
      </c>
      <c r="L97" s="15" t="str">
        <f t="shared" si="5"/>
        <v>Married</v>
      </c>
      <c r="M97" s="15" t="str">
        <f t="shared" si="6"/>
        <v>Mrs Ekta Bajaj</v>
      </c>
      <c r="N97" s="15">
        <f t="shared" ca="1" si="7"/>
        <v>38</v>
      </c>
      <c r="O97" s="15" t="str">
        <f t="shared" si="8"/>
        <v>Medium</v>
      </c>
      <c r="P97" s="15" t="str">
        <f t="shared" si="9"/>
        <v>Parents</v>
      </c>
      <c r="Q97" s="17" cm="1">
        <f t="array" ref="Q97">_xlfn.IFS(J97="Bachelor",1,
J97="Master",2,
J97="PhD",3)</f>
        <v>1</v>
      </c>
    </row>
    <row r="98" spans="1:17" x14ac:dyDescent="0.25">
      <c r="A98" s="14">
        <v>197</v>
      </c>
      <c r="B98" s="15" t="s">
        <v>11</v>
      </c>
      <c r="C98" s="15" t="s">
        <v>306</v>
      </c>
      <c r="D98" s="15" t="s">
        <v>307</v>
      </c>
      <c r="E98" s="16">
        <v>29402</v>
      </c>
      <c r="F98" s="15" t="s">
        <v>14</v>
      </c>
      <c r="G98" s="15" t="s">
        <v>308</v>
      </c>
      <c r="H98" s="15">
        <v>94000</v>
      </c>
      <c r="I98" s="15">
        <v>3</v>
      </c>
      <c r="J98" s="15" t="s">
        <v>23</v>
      </c>
      <c r="K98" s="15" t="s">
        <v>17</v>
      </c>
      <c r="L98" s="15" t="str">
        <f t="shared" si="5"/>
        <v>Married</v>
      </c>
      <c r="M98" s="15" t="str">
        <f t="shared" si="6"/>
        <v>Mr Vishal Chadha</v>
      </c>
      <c r="N98" s="15">
        <f t="shared" ca="1" si="7"/>
        <v>45</v>
      </c>
      <c r="O98" s="15" t="str">
        <f t="shared" si="8"/>
        <v>High</v>
      </c>
      <c r="P98" s="15" t="str">
        <f t="shared" si="9"/>
        <v>Parents</v>
      </c>
      <c r="Q98" s="17" cm="1">
        <f t="array" ref="Q98">_xlfn.IFS(J98="Bachelor",1,
J98="Master",2,
J98="PhD",3)</f>
        <v>2</v>
      </c>
    </row>
    <row r="99" spans="1:17" x14ac:dyDescent="0.25">
      <c r="A99" s="14">
        <v>198</v>
      </c>
      <c r="B99" s="15" t="s">
        <v>18</v>
      </c>
      <c r="C99" s="15" t="s">
        <v>309</v>
      </c>
      <c r="D99" s="15" t="s">
        <v>310</v>
      </c>
      <c r="E99" s="16">
        <v>34588</v>
      </c>
      <c r="F99" s="15" t="s">
        <v>21</v>
      </c>
      <c r="G99" s="15" t="s">
        <v>311</v>
      </c>
      <c r="H99" s="15">
        <v>61000</v>
      </c>
      <c r="I99" s="15">
        <v>0</v>
      </c>
      <c r="J99" s="15" t="s">
        <v>16</v>
      </c>
      <c r="K99" s="15" t="s">
        <v>24</v>
      </c>
      <c r="L99" s="15" t="str">
        <f t="shared" si="5"/>
        <v>Single</v>
      </c>
      <c r="M99" s="15" t="str">
        <f t="shared" si="6"/>
        <v>Ms Ruchi Madan</v>
      </c>
      <c r="N99" s="15">
        <f t="shared" ca="1" si="7"/>
        <v>31</v>
      </c>
      <c r="O99" s="15" t="str">
        <f t="shared" si="8"/>
        <v>Medium</v>
      </c>
      <c r="P99" s="15" t="str">
        <f t="shared" si="9"/>
        <v>Non Parents</v>
      </c>
      <c r="Q99" s="17" cm="1">
        <f t="array" ref="Q99">_xlfn.IFS(J99="Bachelor",1,
J99="Master",2,
J99="PhD",3)</f>
        <v>1</v>
      </c>
    </row>
    <row r="100" spans="1:17" x14ac:dyDescent="0.25">
      <c r="A100" s="14">
        <v>199</v>
      </c>
      <c r="B100" s="15" t="s">
        <v>11</v>
      </c>
      <c r="C100" s="15" t="s">
        <v>312</v>
      </c>
      <c r="D100" s="15" t="s">
        <v>313</v>
      </c>
      <c r="E100" s="16">
        <v>30341</v>
      </c>
      <c r="F100" s="15" t="s">
        <v>14</v>
      </c>
      <c r="G100" s="15" t="s">
        <v>314</v>
      </c>
      <c r="H100" s="15">
        <v>86000</v>
      </c>
      <c r="I100" s="15">
        <v>2</v>
      </c>
      <c r="J100" s="15" t="s">
        <v>16</v>
      </c>
      <c r="K100" s="15" t="s">
        <v>17</v>
      </c>
      <c r="L100" s="15" t="str">
        <f t="shared" si="5"/>
        <v>Married</v>
      </c>
      <c r="M100" s="15" t="str">
        <f t="shared" si="6"/>
        <v>Mr Alok Sarin</v>
      </c>
      <c r="N100" s="15">
        <f t="shared" ca="1" si="7"/>
        <v>43</v>
      </c>
      <c r="O100" s="15" t="str">
        <f t="shared" si="8"/>
        <v>High</v>
      </c>
      <c r="P100" s="15" t="str">
        <f t="shared" si="9"/>
        <v>Parents</v>
      </c>
      <c r="Q100" s="17" cm="1">
        <f t="array" ref="Q100">_xlfn.IFS(J100="Bachelor",1,
J100="Master",2,
J100="PhD",3)</f>
        <v>1</v>
      </c>
    </row>
    <row r="101" spans="1:17" x14ac:dyDescent="0.25">
      <c r="A101" s="14">
        <v>200</v>
      </c>
      <c r="B101" s="15" t="s">
        <v>28</v>
      </c>
      <c r="C101" s="15" t="s">
        <v>315</v>
      </c>
      <c r="D101" s="15" t="s">
        <v>216</v>
      </c>
      <c r="E101" s="16">
        <v>32282</v>
      </c>
      <c r="F101" s="15" t="s">
        <v>21</v>
      </c>
      <c r="G101" s="15" t="s">
        <v>316</v>
      </c>
      <c r="H101" s="15">
        <v>75000</v>
      </c>
      <c r="I101" s="15">
        <v>1</v>
      </c>
      <c r="J101" s="15" t="s">
        <v>23</v>
      </c>
      <c r="K101" s="15" t="s">
        <v>17</v>
      </c>
      <c r="L101" s="15" t="str">
        <f t="shared" si="5"/>
        <v>Single</v>
      </c>
      <c r="M101" s="15" t="str">
        <f t="shared" si="6"/>
        <v>Mrs Bhavna Puri</v>
      </c>
      <c r="N101" s="15">
        <f t="shared" ca="1" si="7"/>
        <v>38</v>
      </c>
      <c r="O101" s="15" t="str">
        <f t="shared" si="8"/>
        <v>Medium</v>
      </c>
      <c r="P101" s="15" t="str">
        <f t="shared" si="9"/>
        <v>Non Parents</v>
      </c>
      <c r="Q101" s="17" cm="1">
        <f t="array" ref="Q101">_xlfn.IFS(J101="Bachelor",1,
J101="Master",2,
J101="PhD",3)</f>
        <v>2</v>
      </c>
    </row>
    <row r="102" spans="1:17" x14ac:dyDescent="0.25">
      <c r="A102" s="14">
        <v>201</v>
      </c>
      <c r="B102" s="15" t="s">
        <v>11</v>
      </c>
      <c r="C102" s="15" t="s">
        <v>317</v>
      </c>
      <c r="D102" s="15" t="s">
        <v>318</v>
      </c>
      <c r="E102" s="16">
        <v>30724</v>
      </c>
      <c r="F102" s="15" t="s">
        <v>14</v>
      </c>
      <c r="G102" s="15" t="s">
        <v>319</v>
      </c>
      <c r="H102" s="15">
        <v>84000</v>
      </c>
      <c r="I102" s="15">
        <v>2</v>
      </c>
      <c r="J102" s="15" t="s">
        <v>16</v>
      </c>
      <c r="K102" s="15" t="s">
        <v>17</v>
      </c>
      <c r="L102" s="15" t="str">
        <f t="shared" si="5"/>
        <v>Married</v>
      </c>
      <c r="M102" s="15" t="str">
        <f t="shared" si="6"/>
        <v>Mr Akshay Bhalla</v>
      </c>
      <c r="N102" s="15">
        <f t="shared" ca="1" si="7"/>
        <v>42</v>
      </c>
      <c r="O102" s="15" t="str">
        <f t="shared" si="8"/>
        <v>Medium</v>
      </c>
      <c r="P102" s="15" t="str">
        <f t="shared" si="9"/>
        <v>Parents</v>
      </c>
      <c r="Q102" s="17" cm="1">
        <f t="array" ref="Q102">_xlfn.IFS(J102="Bachelor",1,
J102="Master",2,
J102="PhD",3)</f>
        <v>1</v>
      </c>
    </row>
    <row r="103" spans="1:17" x14ac:dyDescent="0.25">
      <c r="A103" s="14">
        <v>202</v>
      </c>
      <c r="B103" s="15" t="s">
        <v>18</v>
      </c>
      <c r="C103" s="15" t="s">
        <v>320</v>
      </c>
      <c r="D103" s="15" t="s">
        <v>321</v>
      </c>
      <c r="E103" s="16">
        <v>34138</v>
      </c>
      <c r="F103" s="15" t="s">
        <v>21</v>
      </c>
      <c r="G103" s="15" t="s">
        <v>322</v>
      </c>
      <c r="H103" s="15">
        <v>62000</v>
      </c>
      <c r="I103" s="15">
        <v>0</v>
      </c>
      <c r="J103" s="15" t="s">
        <v>23</v>
      </c>
      <c r="K103" s="15" t="s">
        <v>24</v>
      </c>
      <c r="L103" s="15" t="str">
        <f t="shared" si="5"/>
        <v>Single</v>
      </c>
      <c r="M103" s="15" t="str">
        <f t="shared" si="6"/>
        <v>Ms Shalini Mehra</v>
      </c>
      <c r="N103" s="15">
        <f t="shared" ca="1" si="7"/>
        <v>32</v>
      </c>
      <c r="O103" s="15" t="str">
        <f t="shared" si="8"/>
        <v>Medium</v>
      </c>
      <c r="P103" s="15" t="str">
        <f t="shared" si="9"/>
        <v>Non Parents</v>
      </c>
      <c r="Q103" s="17" cm="1">
        <f t="array" ref="Q103">_xlfn.IFS(J103="Bachelor",1,
J103="Master",2,
J103="PhD",3)</f>
        <v>2</v>
      </c>
    </row>
    <row r="104" spans="1:17" x14ac:dyDescent="0.25">
      <c r="A104" s="14">
        <v>203</v>
      </c>
      <c r="B104" s="15" t="s">
        <v>11</v>
      </c>
      <c r="C104" s="15" t="s">
        <v>323</v>
      </c>
      <c r="D104" s="15" t="s">
        <v>324</v>
      </c>
      <c r="E104" s="16">
        <v>29836</v>
      </c>
      <c r="F104" s="15" t="s">
        <v>14</v>
      </c>
      <c r="G104" s="15" t="s">
        <v>325</v>
      </c>
      <c r="H104" s="15">
        <v>91000</v>
      </c>
      <c r="I104" s="15">
        <v>3</v>
      </c>
      <c r="J104" s="15" t="s">
        <v>23</v>
      </c>
      <c r="K104" s="15" t="s">
        <v>17</v>
      </c>
      <c r="L104" s="15" t="str">
        <f t="shared" si="5"/>
        <v>Married</v>
      </c>
      <c r="M104" s="15" t="str">
        <f t="shared" si="6"/>
        <v>Mr Rajat Kapur</v>
      </c>
      <c r="N104" s="15">
        <f t="shared" ca="1" si="7"/>
        <v>44</v>
      </c>
      <c r="O104" s="15" t="str">
        <f t="shared" si="8"/>
        <v>High</v>
      </c>
      <c r="P104" s="15" t="str">
        <f t="shared" si="9"/>
        <v>Parents</v>
      </c>
      <c r="Q104" s="17" cm="1">
        <f t="array" ref="Q104">_xlfn.IFS(J104="Bachelor",1,
J104="Master",2,
J104="PhD",3)</f>
        <v>2</v>
      </c>
    </row>
    <row r="105" spans="1:17" x14ac:dyDescent="0.25">
      <c r="A105" s="14">
        <v>204</v>
      </c>
      <c r="B105" s="15" t="s">
        <v>28</v>
      </c>
      <c r="C105" s="15" t="s">
        <v>326</v>
      </c>
      <c r="D105" s="15" t="s">
        <v>260</v>
      </c>
      <c r="E105" s="16">
        <v>32166</v>
      </c>
      <c r="F105" s="15" t="s">
        <v>21</v>
      </c>
      <c r="G105" s="15" t="s">
        <v>327</v>
      </c>
      <c r="H105" s="15">
        <v>73000</v>
      </c>
      <c r="I105" s="15">
        <v>1</v>
      </c>
      <c r="J105" s="15" t="s">
        <v>16</v>
      </c>
      <c r="K105" s="15" t="s">
        <v>17</v>
      </c>
      <c r="L105" s="15" t="str">
        <f t="shared" si="5"/>
        <v>Single</v>
      </c>
      <c r="M105" s="15" t="str">
        <f t="shared" si="6"/>
        <v>Mrs Anjali Khurana</v>
      </c>
      <c r="N105" s="15">
        <f t="shared" ca="1" si="7"/>
        <v>38</v>
      </c>
      <c r="O105" s="15" t="str">
        <f t="shared" si="8"/>
        <v>Medium</v>
      </c>
      <c r="P105" s="15" t="str">
        <f t="shared" si="9"/>
        <v>Non Parents</v>
      </c>
      <c r="Q105" s="17" cm="1">
        <f t="array" ref="Q105">_xlfn.IFS(J105="Bachelor",1,
J105="Master",2,
J105="PhD",3)</f>
        <v>1</v>
      </c>
    </row>
    <row r="106" spans="1:17" x14ac:dyDescent="0.25">
      <c r="A106" s="14">
        <v>205</v>
      </c>
      <c r="B106" s="15" t="s">
        <v>11</v>
      </c>
      <c r="C106" s="15" t="s">
        <v>328</v>
      </c>
      <c r="D106" s="15" t="s">
        <v>329</v>
      </c>
      <c r="E106" s="16">
        <v>29326</v>
      </c>
      <c r="F106" s="15" t="s">
        <v>14</v>
      </c>
      <c r="G106" s="15" t="s">
        <v>330</v>
      </c>
      <c r="H106" s="15">
        <v>95000</v>
      </c>
      <c r="I106" s="15">
        <v>3</v>
      </c>
      <c r="J106" s="15" t="s">
        <v>35</v>
      </c>
      <c r="K106" s="15" t="s">
        <v>17</v>
      </c>
      <c r="L106" s="15" t="str">
        <f t="shared" si="5"/>
        <v>Married</v>
      </c>
      <c r="M106" s="15" t="str">
        <f t="shared" si="6"/>
        <v>Mr Sameer Sood</v>
      </c>
      <c r="N106" s="15">
        <f t="shared" ca="1" si="7"/>
        <v>46</v>
      </c>
      <c r="O106" s="15" t="str">
        <f t="shared" si="8"/>
        <v>High</v>
      </c>
      <c r="P106" s="15" t="str">
        <f t="shared" si="9"/>
        <v>Parents</v>
      </c>
      <c r="Q106" s="17" cm="1">
        <f t="array" ref="Q106">_xlfn.IFS(J106="Bachelor",1,
J106="Master",2,
J106="PhD",3)</f>
        <v>3</v>
      </c>
    </row>
    <row r="107" spans="1:17" x14ac:dyDescent="0.25">
      <c r="A107" s="14">
        <v>206</v>
      </c>
      <c r="B107" s="15" t="s">
        <v>18</v>
      </c>
      <c r="C107" s="15" t="s">
        <v>331</v>
      </c>
      <c r="D107" s="15" t="s">
        <v>263</v>
      </c>
      <c r="E107" s="16">
        <v>34557</v>
      </c>
      <c r="F107" s="15" t="s">
        <v>21</v>
      </c>
      <c r="G107" s="15" t="s">
        <v>332</v>
      </c>
      <c r="H107" s="15">
        <v>60000</v>
      </c>
      <c r="I107" s="15">
        <v>0</v>
      </c>
      <c r="J107" s="15" t="s">
        <v>16</v>
      </c>
      <c r="K107" s="15" t="s">
        <v>24</v>
      </c>
      <c r="L107" s="15" t="str">
        <f t="shared" si="5"/>
        <v>Single</v>
      </c>
      <c r="M107" s="15" t="str">
        <f t="shared" si="6"/>
        <v>Ms Pallak Grover</v>
      </c>
      <c r="N107" s="15">
        <f t="shared" ca="1" si="7"/>
        <v>31</v>
      </c>
      <c r="O107" s="15" t="str">
        <f t="shared" si="8"/>
        <v>Medium</v>
      </c>
      <c r="P107" s="15" t="str">
        <f t="shared" si="9"/>
        <v>Non Parents</v>
      </c>
      <c r="Q107" s="17" cm="1">
        <f t="array" ref="Q107">_xlfn.IFS(J107="Bachelor",1,
J107="Master",2,
J107="PhD",3)</f>
        <v>1</v>
      </c>
    </row>
    <row r="108" spans="1:17" x14ac:dyDescent="0.25">
      <c r="A108" s="14">
        <v>207</v>
      </c>
      <c r="B108" s="15" t="s">
        <v>11</v>
      </c>
      <c r="C108" s="15" t="s">
        <v>333</v>
      </c>
      <c r="D108" s="15" t="s">
        <v>70</v>
      </c>
      <c r="E108" s="16">
        <v>30649</v>
      </c>
      <c r="F108" s="15" t="s">
        <v>14</v>
      </c>
      <c r="G108" s="15" t="s">
        <v>334</v>
      </c>
      <c r="H108" s="15">
        <v>86000</v>
      </c>
      <c r="I108" s="15">
        <v>2</v>
      </c>
      <c r="J108" s="15" t="s">
        <v>23</v>
      </c>
      <c r="K108" s="15" t="s">
        <v>17</v>
      </c>
      <c r="L108" s="15" t="str">
        <f t="shared" si="5"/>
        <v>Married</v>
      </c>
      <c r="M108" s="15" t="str">
        <f t="shared" si="6"/>
        <v>Mr Vinay Chopra</v>
      </c>
      <c r="N108" s="15">
        <f t="shared" ca="1" si="7"/>
        <v>42</v>
      </c>
      <c r="O108" s="15" t="str">
        <f t="shared" si="8"/>
        <v>High</v>
      </c>
      <c r="P108" s="15" t="str">
        <f t="shared" si="9"/>
        <v>Parents</v>
      </c>
      <c r="Q108" s="17" cm="1">
        <f t="array" ref="Q108">_xlfn.IFS(J108="Bachelor",1,
J108="Master",2,
J108="PhD",3)</f>
        <v>2</v>
      </c>
    </row>
    <row r="109" spans="1:17" x14ac:dyDescent="0.25">
      <c r="A109" s="14">
        <v>208</v>
      </c>
      <c r="B109" s="15" t="s">
        <v>28</v>
      </c>
      <c r="C109" s="15" t="s">
        <v>335</v>
      </c>
      <c r="D109" s="15" t="s">
        <v>58</v>
      </c>
      <c r="E109" s="16">
        <v>31914</v>
      </c>
      <c r="F109" s="15" t="s">
        <v>21</v>
      </c>
      <c r="G109" s="15" t="s">
        <v>336</v>
      </c>
      <c r="H109" s="15">
        <v>74000</v>
      </c>
      <c r="I109" s="15">
        <v>2</v>
      </c>
      <c r="J109" s="15" t="s">
        <v>16</v>
      </c>
      <c r="K109" s="15" t="s">
        <v>17</v>
      </c>
      <c r="L109" s="15" t="str">
        <f t="shared" si="5"/>
        <v>Married</v>
      </c>
      <c r="M109" s="15" t="str">
        <f t="shared" si="6"/>
        <v>Mrs Neetu Arora</v>
      </c>
      <c r="N109" s="15">
        <f t="shared" ca="1" si="7"/>
        <v>39</v>
      </c>
      <c r="O109" s="15" t="str">
        <f t="shared" si="8"/>
        <v>Medium</v>
      </c>
      <c r="P109" s="15" t="str">
        <f t="shared" si="9"/>
        <v>Parents</v>
      </c>
      <c r="Q109" s="17" cm="1">
        <f t="array" ref="Q109">_xlfn.IFS(J109="Bachelor",1,
J109="Master",2,
J109="PhD",3)</f>
        <v>1</v>
      </c>
    </row>
    <row r="110" spans="1:17" x14ac:dyDescent="0.25">
      <c r="A110" s="14">
        <v>209</v>
      </c>
      <c r="B110" s="15" t="s">
        <v>11</v>
      </c>
      <c r="C110" s="15" t="s">
        <v>259</v>
      </c>
      <c r="D110" s="15" t="s">
        <v>233</v>
      </c>
      <c r="E110" s="16">
        <v>30140</v>
      </c>
      <c r="F110" s="15" t="s">
        <v>14</v>
      </c>
      <c r="G110" s="15" t="s">
        <v>337</v>
      </c>
      <c r="H110" s="15">
        <v>88000</v>
      </c>
      <c r="I110" s="15">
        <v>2</v>
      </c>
      <c r="J110" s="15" t="s">
        <v>23</v>
      </c>
      <c r="K110" s="15" t="s">
        <v>17</v>
      </c>
      <c r="L110" s="15" t="str">
        <f t="shared" si="5"/>
        <v>Married</v>
      </c>
      <c r="M110" s="15" t="str">
        <f t="shared" si="6"/>
        <v>Mr Sumit Malik</v>
      </c>
      <c r="N110" s="15">
        <f t="shared" ca="1" si="7"/>
        <v>43</v>
      </c>
      <c r="O110" s="15" t="str">
        <f t="shared" si="8"/>
        <v>High</v>
      </c>
      <c r="P110" s="15" t="str">
        <f t="shared" si="9"/>
        <v>Parents</v>
      </c>
      <c r="Q110" s="17" cm="1">
        <f t="array" ref="Q110">_xlfn.IFS(J110="Bachelor",1,
J110="Master",2,
J110="PhD",3)</f>
        <v>2</v>
      </c>
    </row>
    <row r="111" spans="1:17" x14ac:dyDescent="0.25">
      <c r="A111" s="14">
        <v>210</v>
      </c>
      <c r="B111" s="15" t="s">
        <v>18</v>
      </c>
      <c r="C111" s="15" t="s">
        <v>338</v>
      </c>
      <c r="D111" s="15" t="s">
        <v>339</v>
      </c>
      <c r="E111" s="16">
        <v>33940</v>
      </c>
      <c r="F111" s="15" t="s">
        <v>21</v>
      </c>
      <c r="G111" s="15" t="s">
        <v>340</v>
      </c>
      <c r="H111" s="15">
        <v>61000</v>
      </c>
      <c r="I111" s="15">
        <v>0</v>
      </c>
      <c r="J111" s="15" t="s">
        <v>16</v>
      </c>
      <c r="K111" s="15" t="s">
        <v>24</v>
      </c>
      <c r="L111" s="15" t="str">
        <f t="shared" si="5"/>
        <v>Single</v>
      </c>
      <c r="M111" s="15" t="str">
        <f t="shared" si="6"/>
        <v>Ms Radhika Batra</v>
      </c>
      <c r="N111" s="15">
        <f t="shared" ca="1" si="7"/>
        <v>33</v>
      </c>
      <c r="O111" s="15" t="str">
        <f t="shared" si="8"/>
        <v>Medium</v>
      </c>
      <c r="P111" s="15" t="str">
        <f t="shared" si="9"/>
        <v>Non Parents</v>
      </c>
      <c r="Q111" s="17" cm="1">
        <f t="array" ref="Q111">_xlfn.IFS(J111="Bachelor",1,
J111="Master",2,
J111="PhD",3)</f>
        <v>1</v>
      </c>
    </row>
    <row r="112" spans="1:17" x14ac:dyDescent="0.25">
      <c r="A112" s="14">
        <v>211</v>
      </c>
      <c r="B112" s="15" t="s">
        <v>11</v>
      </c>
      <c r="C112" s="15" t="s">
        <v>341</v>
      </c>
      <c r="D112" s="15" t="s">
        <v>342</v>
      </c>
      <c r="E112" s="16">
        <v>31127</v>
      </c>
      <c r="F112" s="15" t="s">
        <v>14</v>
      </c>
      <c r="G112" s="15" t="s">
        <v>343</v>
      </c>
      <c r="H112" s="15">
        <v>83000</v>
      </c>
      <c r="I112" s="15">
        <v>2</v>
      </c>
      <c r="J112" s="15" t="s">
        <v>16</v>
      </c>
      <c r="K112" s="15" t="s">
        <v>17</v>
      </c>
      <c r="L112" s="15" t="str">
        <f t="shared" si="5"/>
        <v>Married</v>
      </c>
      <c r="M112" s="15" t="str">
        <f t="shared" si="6"/>
        <v>Mr Ankur Nagpal</v>
      </c>
      <c r="N112" s="15">
        <f t="shared" ca="1" si="7"/>
        <v>41</v>
      </c>
      <c r="O112" s="15" t="str">
        <f t="shared" si="8"/>
        <v>Medium</v>
      </c>
      <c r="P112" s="15" t="str">
        <f t="shared" si="9"/>
        <v>Parents</v>
      </c>
      <c r="Q112" s="17" cm="1">
        <f t="array" ref="Q112">_xlfn.IFS(J112="Bachelor",1,
J112="Master",2,
J112="PhD",3)</f>
        <v>1</v>
      </c>
    </row>
    <row r="113" spans="1:17" x14ac:dyDescent="0.25">
      <c r="A113" s="14">
        <v>212</v>
      </c>
      <c r="B113" s="15" t="s">
        <v>28</v>
      </c>
      <c r="C113" s="15" t="s">
        <v>344</v>
      </c>
      <c r="D113" s="15" t="s">
        <v>216</v>
      </c>
      <c r="E113" s="16">
        <v>32765</v>
      </c>
      <c r="F113" s="15" t="s">
        <v>21</v>
      </c>
      <c r="G113" s="15" t="s">
        <v>345</v>
      </c>
      <c r="H113" s="15">
        <v>72000</v>
      </c>
      <c r="I113" s="15">
        <v>1</v>
      </c>
      <c r="J113" s="15" t="s">
        <v>23</v>
      </c>
      <c r="K113" s="15" t="s">
        <v>17</v>
      </c>
      <c r="L113" s="15" t="str">
        <f t="shared" si="5"/>
        <v>Single</v>
      </c>
      <c r="M113" s="15" t="str">
        <f t="shared" si="6"/>
        <v>Mrs Sheetal Puri</v>
      </c>
      <c r="N113" s="15">
        <f t="shared" ca="1" si="7"/>
        <v>36</v>
      </c>
      <c r="O113" s="15" t="str">
        <f t="shared" si="8"/>
        <v>Medium</v>
      </c>
      <c r="P113" s="15" t="str">
        <f t="shared" si="9"/>
        <v>Non Parents</v>
      </c>
      <c r="Q113" s="17" cm="1">
        <f t="array" ref="Q113">_xlfn.IFS(J113="Bachelor",1,
J113="Master",2,
J113="PhD",3)</f>
        <v>2</v>
      </c>
    </row>
    <row r="114" spans="1:17" x14ac:dyDescent="0.25">
      <c r="A114" s="14">
        <v>213</v>
      </c>
      <c r="B114" s="15" t="s">
        <v>11</v>
      </c>
      <c r="C114" s="15" t="s">
        <v>346</v>
      </c>
      <c r="D114" s="15" t="s">
        <v>242</v>
      </c>
      <c r="E114" s="16">
        <v>29591</v>
      </c>
      <c r="F114" s="15" t="s">
        <v>14</v>
      </c>
      <c r="G114" s="15" t="s">
        <v>347</v>
      </c>
      <c r="H114" s="15">
        <v>90000</v>
      </c>
      <c r="I114" s="15">
        <v>3</v>
      </c>
      <c r="J114" s="15" t="s">
        <v>23</v>
      </c>
      <c r="K114" s="15" t="s">
        <v>17</v>
      </c>
      <c r="L114" s="15" t="str">
        <f t="shared" si="5"/>
        <v>Married</v>
      </c>
      <c r="M114" s="15" t="str">
        <f t="shared" si="6"/>
        <v>Mr Girish Dua</v>
      </c>
      <c r="N114" s="15">
        <f t="shared" ca="1" si="7"/>
        <v>45</v>
      </c>
      <c r="O114" s="15" t="str">
        <f t="shared" si="8"/>
        <v>High</v>
      </c>
      <c r="P114" s="15" t="str">
        <f t="shared" si="9"/>
        <v>Parents</v>
      </c>
      <c r="Q114" s="17" cm="1">
        <f t="array" ref="Q114">_xlfn.IFS(J114="Bachelor",1,
J114="Master",2,
J114="PhD",3)</f>
        <v>2</v>
      </c>
    </row>
    <row r="115" spans="1:17" x14ac:dyDescent="0.25">
      <c r="A115" s="14">
        <v>214</v>
      </c>
      <c r="B115" s="15" t="s">
        <v>18</v>
      </c>
      <c r="C115" s="15" t="s">
        <v>348</v>
      </c>
      <c r="D115" s="15" t="s">
        <v>73</v>
      </c>
      <c r="E115" s="16">
        <v>34454</v>
      </c>
      <c r="F115" s="15" t="s">
        <v>21</v>
      </c>
      <c r="G115" s="15" t="s">
        <v>349</v>
      </c>
      <c r="H115" s="15">
        <v>59000</v>
      </c>
      <c r="I115" s="15">
        <v>0</v>
      </c>
      <c r="J115" s="15" t="s">
        <v>16</v>
      </c>
      <c r="K115" s="15" t="s">
        <v>24</v>
      </c>
      <c r="L115" s="15" t="str">
        <f t="shared" si="5"/>
        <v>Single</v>
      </c>
      <c r="M115" s="15" t="str">
        <f t="shared" si="6"/>
        <v>Ms Twinkle Sethi</v>
      </c>
      <c r="N115" s="15">
        <f t="shared" ca="1" si="7"/>
        <v>32</v>
      </c>
      <c r="O115" s="15" t="str">
        <f t="shared" si="8"/>
        <v>Low</v>
      </c>
      <c r="P115" s="15" t="str">
        <f t="shared" si="9"/>
        <v>Non Parents</v>
      </c>
      <c r="Q115" s="17" cm="1">
        <f t="array" ref="Q115">_xlfn.IFS(J115="Bachelor",1,
J115="Master",2,
J115="PhD",3)</f>
        <v>1</v>
      </c>
    </row>
    <row r="116" spans="1:17" x14ac:dyDescent="0.25">
      <c r="A116" s="14">
        <v>215</v>
      </c>
      <c r="B116" s="15" t="s">
        <v>11</v>
      </c>
      <c r="C116" s="15" t="s">
        <v>350</v>
      </c>
      <c r="D116" s="15" t="s">
        <v>76</v>
      </c>
      <c r="E116" s="16">
        <v>30602</v>
      </c>
      <c r="F116" s="15" t="s">
        <v>14</v>
      </c>
      <c r="G116" s="15" t="s">
        <v>351</v>
      </c>
      <c r="H116" s="15">
        <v>85000</v>
      </c>
      <c r="I116" s="15">
        <v>2</v>
      </c>
      <c r="J116" s="15" t="s">
        <v>16</v>
      </c>
      <c r="K116" s="15" t="s">
        <v>17</v>
      </c>
      <c r="L116" s="15" t="str">
        <f t="shared" si="5"/>
        <v>Married</v>
      </c>
      <c r="M116" s="15" t="str">
        <f t="shared" si="6"/>
        <v>Mr Pranav Khanna</v>
      </c>
      <c r="N116" s="15">
        <f t="shared" ca="1" si="7"/>
        <v>42</v>
      </c>
      <c r="O116" s="15" t="str">
        <f t="shared" si="8"/>
        <v>High</v>
      </c>
      <c r="P116" s="15" t="str">
        <f t="shared" si="9"/>
        <v>Parents</v>
      </c>
      <c r="Q116" s="17" cm="1">
        <f t="array" ref="Q116">_xlfn.IFS(J116="Bachelor",1,
J116="Master",2,
J116="PhD",3)</f>
        <v>1</v>
      </c>
    </row>
    <row r="117" spans="1:17" x14ac:dyDescent="0.25">
      <c r="A117" s="14">
        <v>216</v>
      </c>
      <c r="B117" s="15" t="s">
        <v>28</v>
      </c>
      <c r="C117" s="15" t="s">
        <v>352</v>
      </c>
      <c r="D117" s="15" t="s">
        <v>236</v>
      </c>
      <c r="E117" s="16">
        <v>32319</v>
      </c>
      <c r="F117" s="15" t="s">
        <v>21</v>
      </c>
      <c r="G117" s="15" t="s">
        <v>353</v>
      </c>
      <c r="H117" s="15">
        <v>75000</v>
      </c>
      <c r="I117" s="15">
        <v>2</v>
      </c>
      <c r="J117" s="15" t="s">
        <v>23</v>
      </c>
      <c r="K117" s="15" t="s">
        <v>17</v>
      </c>
      <c r="L117" s="15" t="str">
        <f t="shared" si="5"/>
        <v>Married</v>
      </c>
      <c r="M117" s="15" t="str">
        <f t="shared" si="6"/>
        <v>Mrs Kriti Chawla</v>
      </c>
      <c r="N117" s="15">
        <f t="shared" ca="1" si="7"/>
        <v>37</v>
      </c>
      <c r="O117" s="15" t="str">
        <f t="shared" si="8"/>
        <v>Medium</v>
      </c>
      <c r="P117" s="15" t="str">
        <f t="shared" si="9"/>
        <v>Parents</v>
      </c>
      <c r="Q117" s="17" cm="1">
        <f t="array" ref="Q117">_xlfn.IFS(J117="Bachelor",1,
J117="Master",2,
J117="PhD",3)</f>
        <v>2</v>
      </c>
    </row>
    <row r="118" spans="1:17" x14ac:dyDescent="0.25">
      <c r="A118" s="14">
        <v>217</v>
      </c>
      <c r="B118" s="15" t="s">
        <v>11</v>
      </c>
      <c r="C118" s="15" t="s">
        <v>354</v>
      </c>
      <c r="D118" s="15" t="s">
        <v>210</v>
      </c>
      <c r="E118" s="16">
        <v>29452</v>
      </c>
      <c r="F118" s="15" t="s">
        <v>14</v>
      </c>
      <c r="G118" s="15" t="s">
        <v>355</v>
      </c>
      <c r="H118" s="15">
        <v>92000</v>
      </c>
      <c r="I118" s="15">
        <v>3</v>
      </c>
      <c r="J118" s="15" t="s">
        <v>35</v>
      </c>
      <c r="K118" s="15" t="s">
        <v>17</v>
      </c>
      <c r="L118" s="15" t="str">
        <f t="shared" si="5"/>
        <v>Married</v>
      </c>
      <c r="M118" s="15" t="str">
        <f t="shared" si="6"/>
        <v>Mr Mayank Anand</v>
      </c>
      <c r="N118" s="15">
        <f t="shared" ca="1" si="7"/>
        <v>45</v>
      </c>
      <c r="O118" s="15" t="str">
        <f t="shared" si="8"/>
        <v>High</v>
      </c>
      <c r="P118" s="15" t="str">
        <f t="shared" si="9"/>
        <v>Parents</v>
      </c>
      <c r="Q118" s="17" cm="1">
        <f t="array" ref="Q118">_xlfn.IFS(J118="Bachelor",1,
J118="Master",2,
J118="PhD",3)</f>
        <v>3</v>
      </c>
    </row>
    <row r="119" spans="1:17" x14ac:dyDescent="0.25">
      <c r="A119" s="14">
        <v>218</v>
      </c>
      <c r="B119" s="15" t="s">
        <v>18</v>
      </c>
      <c r="C119" s="15" t="s">
        <v>356</v>
      </c>
      <c r="D119" s="15" t="s">
        <v>222</v>
      </c>
      <c r="E119" s="16">
        <v>33642</v>
      </c>
      <c r="F119" s="15" t="s">
        <v>21</v>
      </c>
      <c r="G119" s="15" t="s">
        <v>357</v>
      </c>
      <c r="H119" s="15">
        <v>62000</v>
      </c>
      <c r="I119" s="15">
        <v>0</v>
      </c>
      <c r="J119" s="15" t="s">
        <v>16</v>
      </c>
      <c r="K119" s="15" t="s">
        <v>24</v>
      </c>
      <c r="L119" s="15" t="str">
        <f t="shared" si="5"/>
        <v>Single</v>
      </c>
      <c r="M119" s="15" t="str">
        <f t="shared" si="6"/>
        <v>Ms Sonia Luthra</v>
      </c>
      <c r="N119" s="15">
        <f t="shared" ca="1" si="7"/>
        <v>34</v>
      </c>
      <c r="O119" s="15" t="str">
        <f t="shared" si="8"/>
        <v>Medium</v>
      </c>
      <c r="P119" s="15" t="str">
        <f t="shared" si="9"/>
        <v>Non Parents</v>
      </c>
      <c r="Q119" s="17" cm="1">
        <f t="array" ref="Q119">_xlfn.IFS(J119="Bachelor",1,
J119="Master",2,
J119="PhD",3)</f>
        <v>1</v>
      </c>
    </row>
    <row r="120" spans="1:17" x14ac:dyDescent="0.25">
      <c r="A120" s="14">
        <v>219</v>
      </c>
      <c r="B120" s="15" t="s">
        <v>11</v>
      </c>
      <c r="C120" s="15" t="s">
        <v>358</v>
      </c>
      <c r="D120" s="15" t="s">
        <v>284</v>
      </c>
      <c r="E120" s="16">
        <v>30829</v>
      </c>
      <c r="F120" s="15" t="s">
        <v>14</v>
      </c>
      <c r="G120" s="15" t="s">
        <v>359</v>
      </c>
      <c r="H120" s="15">
        <v>84000</v>
      </c>
      <c r="I120" s="15">
        <v>2</v>
      </c>
      <c r="J120" s="15" t="s">
        <v>23</v>
      </c>
      <c r="K120" s="15" t="s">
        <v>17</v>
      </c>
      <c r="L120" s="15" t="str">
        <f t="shared" si="5"/>
        <v>Married</v>
      </c>
      <c r="M120" s="15" t="str">
        <f t="shared" si="6"/>
        <v>Mr Ashwin Kalra</v>
      </c>
      <c r="N120" s="15">
        <f t="shared" ca="1" si="7"/>
        <v>42</v>
      </c>
      <c r="O120" s="15" t="str">
        <f t="shared" si="8"/>
        <v>Medium</v>
      </c>
      <c r="P120" s="15" t="str">
        <f t="shared" si="9"/>
        <v>Parents</v>
      </c>
      <c r="Q120" s="17" cm="1">
        <f t="array" ref="Q120">_xlfn.IFS(J120="Bachelor",1,
J120="Master",2,
J120="PhD",3)</f>
        <v>2</v>
      </c>
    </row>
    <row r="121" spans="1:17" x14ac:dyDescent="0.25">
      <c r="A121" s="14">
        <v>220</v>
      </c>
      <c r="B121" s="15" t="s">
        <v>28</v>
      </c>
      <c r="C121" s="15" t="s">
        <v>360</v>
      </c>
      <c r="D121" s="15" t="s">
        <v>281</v>
      </c>
      <c r="E121" s="16">
        <v>32093</v>
      </c>
      <c r="F121" s="15" t="s">
        <v>21</v>
      </c>
      <c r="G121" s="15" t="s">
        <v>361</v>
      </c>
      <c r="H121" s="15">
        <v>73000</v>
      </c>
      <c r="I121" s="15">
        <v>1</v>
      </c>
      <c r="J121" s="15" t="s">
        <v>16</v>
      </c>
      <c r="K121" s="15" t="s">
        <v>17</v>
      </c>
      <c r="L121" s="15" t="str">
        <f t="shared" si="5"/>
        <v>Single</v>
      </c>
      <c r="M121" s="15" t="str">
        <f t="shared" si="6"/>
        <v>Mrs Neelam Talwar</v>
      </c>
      <c r="N121" s="15">
        <f t="shared" ca="1" si="7"/>
        <v>38</v>
      </c>
      <c r="O121" s="15" t="str">
        <f t="shared" si="8"/>
        <v>Medium</v>
      </c>
      <c r="P121" s="15" t="str">
        <f t="shared" si="9"/>
        <v>Non Parents</v>
      </c>
      <c r="Q121" s="17" cm="1">
        <f t="array" ref="Q121">_xlfn.IFS(J121="Bachelor",1,
J121="Master",2,
J121="PhD",3)</f>
        <v>1</v>
      </c>
    </row>
    <row r="122" spans="1:17" x14ac:dyDescent="0.25">
      <c r="A122" s="14">
        <v>221</v>
      </c>
      <c r="B122" s="15" t="s">
        <v>11</v>
      </c>
      <c r="C122" s="15" t="s">
        <v>362</v>
      </c>
      <c r="D122" s="15" t="s">
        <v>266</v>
      </c>
      <c r="E122" s="16">
        <v>30026</v>
      </c>
      <c r="F122" s="15" t="s">
        <v>14</v>
      </c>
      <c r="G122" s="15" t="s">
        <v>363</v>
      </c>
      <c r="H122" s="15">
        <v>89000</v>
      </c>
      <c r="I122" s="15">
        <v>2</v>
      </c>
      <c r="J122" s="15" t="s">
        <v>23</v>
      </c>
      <c r="K122" s="15" t="s">
        <v>17</v>
      </c>
      <c r="L122" s="15" t="str">
        <f t="shared" si="5"/>
        <v>Married</v>
      </c>
      <c r="M122" s="15" t="str">
        <f t="shared" si="6"/>
        <v>Mr Ravi Wadhwa</v>
      </c>
      <c r="N122" s="15">
        <f t="shared" ca="1" si="7"/>
        <v>44</v>
      </c>
      <c r="O122" s="15" t="str">
        <f t="shared" si="8"/>
        <v>High</v>
      </c>
      <c r="P122" s="15" t="str">
        <f t="shared" si="9"/>
        <v>Parents</v>
      </c>
      <c r="Q122" s="17" cm="1">
        <f t="array" ref="Q122">_xlfn.IFS(J122="Bachelor",1,
J122="Master",2,
J122="PhD",3)</f>
        <v>2</v>
      </c>
    </row>
    <row r="123" spans="1:17" x14ac:dyDescent="0.25">
      <c r="A123" s="14">
        <v>222</v>
      </c>
      <c r="B123" s="15" t="s">
        <v>18</v>
      </c>
      <c r="C123" s="15" t="s">
        <v>364</v>
      </c>
      <c r="D123" s="15" t="s">
        <v>269</v>
      </c>
      <c r="E123" s="16">
        <v>34173</v>
      </c>
      <c r="F123" s="15" t="s">
        <v>21</v>
      </c>
      <c r="G123" s="15" t="s">
        <v>365</v>
      </c>
      <c r="H123" s="15">
        <v>61000</v>
      </c>
      <c r="I123" s="15">
        <v>0</v>
      </c>
      <c r="J123" s="15" t="s">
        <v>16</v>
      </c>
      <c r="K123" s="15" t="s">
        <v>24</v>
      </c>
      <c r="L123" s="15" t="str">
        <f t="shared" si="5"/>
        <v>Single</v>
      </c>
      <c r="M123" s="15" t="str">
        <f t="shared" si="6"/>
        <v>Ms Ritika Saluja</v>
      </c>
      <c r="N123" s="15">
        <f t="shared" ca="1" si="7"/>
        <v>32</v>
      </c>
      <c r="O123" s="15" t="str">
        <f t="shared" si="8"/>
        <v>Medium</v>
      </c>
      <c r="P123" s="15" t="str">
        <f t="shared" si="9"/>
        <v>Non Parents</v>
      </c>
      <c r="Q123" s="17" cm="1">
        <f t="array" ref="Q123">_xlfn.IFS(J123="Bachelor",1,
J123="Master",2,
J123="PhD",3)</f>
        <v>1</v>
      </c>
    </row>
    <row r="124" spans="1:17" x14ac:dyDescent="0.25">
      <c r="A124" s="14">
        <v>223</v>
      </c>
      <c r="B124" s="15" t="s">
        <v>11</v>
      </c>
      <c r="C124" s="15" t="s">
        <v>153</v>
      </c>
      <c r="D124" s="15" t="s">
        <v>272</v>
      </c>
      <c r="E124" s="16">
        <v>29929</v>
      </c>
      <c r="F124" s="15" t="s">
        <v>14</v>
      </c>
      <c r="G124" s="15" t="s">
        <v>366</v>
      </c>
      <c r="H124" s="15">
        <v>93000</v>
      </c>
      <c r="I124" s="15">
        <v>3</v>
      </c>
      <c r="J124" s="15" t="s">
        <v>35</v>
      </c>
      <c r="K124" s="15" t="s">
        <v>17</v>
      </c>
      <c r="L124" s="15" t="str">
        <f t="shared" si="5"/>
        <v>Married</v>
      </c>
      <c r="M124" s="15" t="str">
        <f t="shared" si="6"/>
        <v>Mr Naveen Juneja</v>
      </c>
      <c r="N124" s="15">
        <f t="shared" ca="1" si="7"/>
        <v>44</v>
      </c>
      <c r="O124" s="15" t="str">
        <f t="shared" si="8"/>
        <v>High</v>
      </c>
      <c r="P124" s="15" t="str">
        <f t="shared" si="9"/>
        <v>Parents</v>
      </c>
      <c r="Q124" s="17" cm="1">
        <f t="array" ref="Q124">_xlfn.IFS(J124="Bachelor",1,
J124="Master",2,
J124="PhD",3)</f>
        <v>3</v>
      </c>
    </row>
    <row r="125" spans="1:17" x14ac:dyDescent="0.25">
      <c r="A125" s="14">
        <v>224</v>
      </c>
      <c r="B125" s="15" t="s">
        <v>28</v>
      </c>
      <c r="C125" s="15" t="s">
        <v>150</v>
      </c>
      <c r="D125" s="15" t="s">
        <v>275</v>
      </c>
      <c r="E125" s="16">
        <v>32251</v>
      </c>
      <c r="F125" s="15" t="s">
        <v>21</v>
      </c>
      <c r="G125" s="15" t="s">
        <v>367</v>
      </c>
      <c r="H125" s="15">
        <v>74000</v>
      </c>
      <c r="I125" s="15">
        <v>2</v>
      </c>
      <c r="J125" s="15" t="s">
        <v>23</v>
      </c>
      <c r="K125" s="15" t="s">
        <v>17</v>
      </c>
      <c r="L125" s="15" t="str">
        <f t="shared" si="5"/>
        <v>Married</v>
      </c>
      <c r="M125" s="15" t="str">
        <f t="shared" si="6"/>
        <v>Mrs Monika Ahuja</v>
      </c>
      <c r="N125" s="15">
        <f t="shared" ca="1" si="7"/>
        <v>38</v>
      </c>
      <c r="O125" s="15" t="str">
        <f t="shared" si="8"/>
        <v>Medium</v>
      </c>
      <c r="P125" s="15" t="str">
        <f t="shared" si="9"/>
        <v>Parents</v>
      </c>
      <c r="Q125" s="17" cm="1">
        <f t="array" ref="Q125">_xlfn.IFS(J125="Bachelor",1,
J125="Master",2,
J125="PhD",3)</f>
        <v>2</v>
      </c>
    </row>
    <row r="126" spans="1:17" x14ac:dyDescent="0.25">
      <c r="A126" s="14">
        <v>225</v>
      </c>
      <c r="B126" s="15" t="s">
        <v>11</v>
      </c>
      <c r="C126" s="15" t="s">
        <v>368</v>
      </c>
      <c r="D126" s="15" t="s">
        <v>278</v>
      </c>
      <c r="E126" s="16">
        <v>30562</v>
      </c>
      <c r="F126" s="15" t="s">
        <v>14</v>
      </c>
      <c r="G126" s="15" t="s">
        <v>369</v>
      </c>
      <c r="H126" s="15">
        <v>82000</v>
      </c>
      <c r="I126" s="15">
        <v>2</v>
      </c>
      <c r="J126" s="15" t="s">
        <v>16</v>
      </c>
      <c r="K126" s="15" t="s">
        <v>17</v>
      </c>
      <c r="L126" s="15" t="str">
        <f t="shared" si="5"/>
        <v>Married</v>
      </c>
      <c r="M126" s="15" t="str">
        <f t="shared" si="6"/>
        <v>Mr Deepanshu Behl</v>
      </c>
      <c r="N126" s="15">
        <f t="shared" ca="1" si="7"/>
        <v>42</v>
      </c>
      <c r="O126" s="15" t="str">
        <f t="shared" si="8"/>
        <v>Medium</v>
      </c>
      <c r="P126" s="15" t="str">
        <f t="shared" si="9"/>
        <v>Parents</v>
      </c>
      <c r="Q126" s="17" cm="1">
        <f t="array" ref="Q126">_xlfn.IFS(J126="Bachelor",1,
J126="Master",2,
J126="PhD",3)</f>
        <v>1</v>
      </c>
    </row>
    <row r="127" spans="1:17" x14ac:dyDescent="0.25">
      <c r="A127" s="14">
        <v>226</v>
      </c>
      <c r="B127" s="15" t="s">
        <v>18</v>
      </c>
      <c r="C127" s="15" t="s">
        <v>370</v>
      </c>
      <c r="D127" s="15" t="s">
        <v>287</v>
      </c>
      <c r="E127" s="16">
        <v>34363</v>
      </c>
      <c r="F127" s="15" t="s">
        <v>21</v>
      </c>
      <c r="G127" s="15" t="s">
        <v>371</v>
      </c>
      <c r="H127" s="15">
        <v>60000</v>
      </c>
      <c r="I127" s="15">
        <v>0</v>
      </c>
      <c r="J127" s="15" t="s">
        <v>16</v>
      </c>
      <c r="K127" s="15" t="s">
        <v>24</v>
      </c>
      <c r="L127" s="15" t="str">
        <f t="shared" si="5"/>
        <v>Single</v>
      </c>
      <c r="M127" s="15" t="str">
        <f t="shared" si="6"/>
        <v>Ms Shraddha Rishi</v>
      </c>
      <c r="N127" s="15">
        <f t="shared" ca="1" si="7"/>
        <v>32</v>
      </c>
      <c r="O127" s="15" t="str">
        <f t="shared" si="8"/>
        <v>Medium</v>
      </c>
      <c r="P127" s="15" t="str">
        <f t="shared" si="9"/>
        <v>Non Parents</v>
      </c>
      <c r="Q127" s="17" cm="1">
        <f t="array" ref="Q127">_xlfn.IFS(J127="Bachelor",1,
J127="Master",2,
J127="PhD",3)</f>
        <v>1</v>
      </c>
    </row>
    <row r="128" spans="1:17" x14ac:dyDescent="0.25">
      <c r="A128" s="14">
        <v>227</v>
      </c>
      <c r="B128" s="15" t="s">
        <v>11</v>
      </c>
      <c r="C128" s="15" t="s">
        <v>247</v>
      </c>
      <c r="D128" s="15" t="s">
        <v>290</v>
      </c>
      <c r="E128" s="16">
        <v>29394</v>
      </c>
      <c r="F128" s="15" t="s">
        <v>14</v>
      </c>
      <c r="G128" s="15" t="s">
        <v>372</v>
      </c>
      <c r="H128" s="15">
        <v>95000</v>
      </c>
      <c r="I128" s="15">
        <v>4</v>
      </c>
      <c r="J128" s="15" t="s">
        <v>23</v>
      </c>
      <c r="K128" s="15" t="s">
        <v>17</v>
      </c>
      <c r="L128" s="15" t="str">
        <f t="shared" si="5"/>
        <v>Married</v>
      </c>
      <c r="M128" s="15" t="str">
        <f t="shared" si="6"/>
        <v>Mr Rohit Pahwa</v>
      </c>
      <c r="N128" s="15">
        <f t="shared" ca="1" si="7"/>
        <v>45</v>
      </c>
      <c r="O128" s="15" t="str">
        <f t="shared" si="8"/>
        <v>High</v>
      </c>
      <c r="P128" s="15" t="str">
        <f t="shared" si="9"/>
        <v>Parents</v>
      </c>
      <c r="Q128" s="17" cm="1">
        <f t="array" ref="Q128">_xlfn.IFS(J128="Bachelor",1,
J128="Master",2,
J128="PhD",3)</f>
        <v>2</v>
      </c>
    </row>
    <row r="129" spans="1:17" x14ac:dyDescent="0.25">
      <c r="A129" s="14">
        <v>228</v>
      </c>
      <c r="B129" s="15" t="s">
        <v>28</v>
      </c>
      <c r="C129" s="15" t="s">
        <v>373</v>
      </c>
      <c r="D129" s="15" t="s">
        <v>293</v>
      </c>
      <c r="E129" s="16">
        <v>32058</v>
      </c>
      <c r="F129" s="15" t="s">
        <v>21</v>
      </c>
      <c r="G129" s="15" t="s">
        <v>374</v>
      </c>
      <c r="H129" s="15">
        <v>72000</v>
      </c>
      <c r="I129" s="15">
        <v>1</v>
      </c>
      <c r="J129" s="15" t="s">
        <v>16</v>
      </c>
      <c r="K129" s="15" t="s">
        <v>17</v>
      </c>
      <c r="L129" s="15" t="str">
        <f t="shared" si="5"/>
        <v>Single</v>
      </c>
      <c r="M129" s="15" t="str">
        <f t="shared" si="6"/>
        <v>Mrs Meenakshi Dang</v>
      </c>
      <c r="N129" s="15">
        <f t="shared" ca="1" si="7"/>
        <v>38</v>
      </c>
      <c r="O129" s="15" t="str">
        <f t="shared" si="8"/>
        <v>Medium</v>
      </c>
      <c r="P129" s="15" t="str">
        <f t="shared" si="9"/>
        <v>Non Parents</v>
      </c>
      <c r="Q129" s="17" cm="1">
        <f t="array" ref="Q129">_xlfn.IFS(J129="Bachelor",1,
J129="Master",2,
J129="PhD",3)</f>
        <v>1</v>
      </c>
    </row>
    <row r="130" spans="1:17" x14ac:dyDescent="0.25">
      <c r="A130" s="14">
        <v>229</v>
      </c>
      <c r="B130" s="15" t="s">
        <v>11</v>
      </c>
      <c r="C130" s="15" t="s">
        <v>375</v>
      </c>
      <c r="D130" s="15" t="s">
        <v>296</v>
      </c>
      <c r="E130" s="16">
        <v>30726</v>
      </c>
      <c r="F130" s="15" t="s">
        <v>14</v>
      </c>
      <c r="G130" s="15" t="s">
        <v>376</v>
      </c>
      <c r="H130" s="15">
        <v>86000</v>
      </c>
      <c r="I130" s="15">
        <v>2</v>
      </c>
      <c r="J130" s="15" t="s">
        <v>23</v>
      </c>
      <c r="K130" s="15" t="s">
        <v>17</v>
      </c>
      <c r="L130" s="15" t="str">
        <f t="shared" si="5"/>
        <v>Married</v>
      </c>
      <c r="M130" s="15" t="str">
        <f t="shared" si="6"/>
        <v>Mr Vikas Sehgal</v>
      </c>
      <c r="N130" s="15">
        <f t="shared" ca="1" si="7"/>
        <v>42</v>
      </c>
      <c r="O130" s="15" t="str">
        <f t="shared" si="8"/>
        <v>High</v>
      </c>
      <c r="P130" s="15" t="str">
        <f t="shared" si="9"/>
        <v>Parents</v>
      </c>
      <c r="Q130" s="17" cm="1">
        <f t="array" ref="Q130">_xlfn.IFS(J130="Bachelor",1,
J130="Master",2,
J130="PhD",3)</f>
        <v>2</v>
      </c>
    </row>
    <row r="131" spans="1:17" x14ac:dyDescent="0.25">
      <c r="A131" s="14">
        <v>230</v>
      </c>
      <c r="B131" s="15" t="s">
        <v>18</v>
      </c>
      <c r="C131" s="15" t="s">
        <v>377</v>
      </c>
      <c r="D131" s="15" t="s">
        <v>304</v>
      </c>
      <c r="E131" s="16">
        <v>34108</v>
      </c>
      <c r="F131" s="15" t="s">
        <v>21</v>
      </c>
      <c r="G131" s="15" t="s">
        <v>378</v>
      </c>
      <c r="H131" s="15">
        <v>62000</v>
      </c>
      <c r="I131" s="15">
        <v>0</v>
      </c>
      <c r="J131" s="15" t="s">
        <v>16</v>
      </c>
      <c r="K131" s="15" t="s">
        <v>24</v>
      </c>
      <c r="L131" s="15" t="str">
        <f t="shared" ref="L131:L194" si="10">IF(I131&gt;1,"Married","Single")</f>
        <v>Single</v>
      </c>
      <c r="M131" s="15" t="str">
        <f t="shared" ref="M131:M194" si="11">CONCATENATE(B131," ", C131," ", D131)</f>
        <v>Ms Anusha Bajaj</v>
      </c>
      <c r="N131" s="15">
        <f t="shared" ref="N131:N194" ca="1" si="12">DATEDIF(E131,TODAY(),"Y")</f>
        <v>33</v>
      </c>
      <c r="O131" s="15" t="str">
        <f t="shared" ref="O131:O194" si="13">IF(H131&lt;60000,"Low",IF(H131&lt;85000,"Medium","High"))</f>
        <v>Medium</v>
      </c>
      <c r="P131" s="15" t="str">
        <f t="shared" ref="P131:P194" si="14">IF(I131&gt;1,"Parents","Non Parents")</f>
        <v>Non Parents</v>
      </c>
      <c r="Q131" s="17" cm="1">
        <f t="array" ref="Q131">_xlfn.IFS(J131="Bachelor",1,
J131="Master",2,
J131="PhD",3)</f>
        <v>1</v>
      </c>
    </row>
    <row r="132" spans="1:17" x14ac:dyDescent="0.25">
      <c r="A132" s="14">
        <v>231</v>
      </c>
      <c r="B132" s="15" t="s">
        <v>11</v>
      </c>
      <c r="C132" s="15" t="s">
        <v>379</v>
      </c>
      <c r="D132" s="15" t="s">
        <v>307</v>
      </c>
      <c r="E132" s="16">
        <v>30193</v>
      </c>
      <c r="F132" s="15" t="s">
        <v>14</v>
      </c>
      <c r="G132" s="15" t="s">
        <v>380</v>
      </c>
      <c r="H132" s="15">
        <v>90000</v>
      </c>
      <c r="I132" s="15">
        <v>3</v>
      </c>
      <c r="J132" s="15" t="s">
        <v>35</v>
      </c>
      <c r="K132" s="15" t="s">
        <v>17</v>
      </c>
      <c r="L132" s="15" t="str">
        <f t="shared" si="10"/>
        <v>Married</v>
      </c>
      <c r="M132" s="15" t="str">
        <f t="shared" si="11"/>
        <v>Mr Tushar Chadha</v>
      </c>
      <c r="N132" s="15">
        <f t="shared" ca="1" si="12"/>
        <v>43</v>
      </c>
      <c r="O132" s="15" t="str">
        <f t="shared" si="13"/>
        <v>High</v>
      </c>
      <c r="P132" s="15" t="str">
        <f t="shared" si="14"/>
        <v>Parents</v>
      </c>
      <c r="Q132" s="17" cm="1">
        <f t="array" ref="Q132">_xlfn.IFS(J132="Bachelor",1,
J132="Master",2,
J132="PhD",3)</f>
        <v>3</v>
      </c>
    </row>
    <row r="133" spans="1:17" x14ac:dyDescent="0.25">
      <c r="A133" s="14">
        <v>232</v>
      </c>
      <c r="B133" s="15" t="s">
        <v>28</v>
      </c>
      <c r="C133" s="15" t="s">
        <v>102</v>
      </c>
      <c r="D133" s="15" t="s">
        <v>310</v>
      </c>
      <c r="E133" s="16">
        <v>32492</v>
      </c>
      <c r="F133" s="15" t="s">
        <v>21</v>
      </c>
      <c r="G133" s="15" t="s">
        <v>381</v>
      </c>
      <c r="H133" s="15">
        <v>74000</v>
      </c>
      <c r="I133" s="15">
        <v>1</v>
      </c>
      <c r="J133" s="15" t="s">
        <v>23</v>
      </c>
      <c r="K133" s="15" t="s">
        <v>17</v>
      </c>
      <c r="L133" s="15" t="str">
        <f t="shared" si="10"/>
        <v>Single</v>
      </c>
      <c r="M133" s="15" t="str">
        <f t="shared" si="11"/>
        <v>Mrs Payal Madan</v>
      </c>
      <c r="N133" s="15">
        <f t="shared" ca="1" si="12"/>
        <v>37</v>
      </c>
      <c r="O133" s="15" t="str">
        <f t="shared" si="13"/>
        <v>Medium</v>
      </c>
      <c r="P133" s="15" t="str">
        <f t="shared" si="14"/>
        <v>Non Parents</v>
      </c>
      <c r="Q133" s="17" cm="1">
        <f t="array" ref="Q133">_xlfn.IFS(J133="Bachelor",1,
J133="Master",2,
J133="PhD",3)</f>
        <v>2</v>
      </c>
    </row>
    <row r="134" spans="1:17" x14ac:dyDescent="0.25">
      <c r="A134" s="14">
        <v>233</v>
      </c>
      <c r="B134" s="15" t="s">
        <v>11</v>
      </c>
      <c r="C134" s="15" t="s">
        <v>382</v>
      </c>
      <c r="D134" s="15" t="s">
        <v>313</v>
      </c>
      <c r="E134" s="16">
        <v>29686</v>
      </c>
      <c r="F134" s="15" t="s">
        <v>14</v>
      </c>
      <c r="G134" s="15" t="s">
        <v>383</v>
      </c>
      <c r="H134" s="15">
        <v>85000</v>
      </c>
      <c r="I134" s="15">
        <v>2</v>
      </c>
      <c r="J134" s="15" t="s">
        <v>16</v>
      </c>
      <c r="K134" s="15" t="s">
        <v>17</v>
      </c>
      <c r="L134" s="15" t="str">
        <f t="shared" si="10"/>
        <v>Married</v>
      </c>
      <c r="M134" s="15" t="str">
        <f t="shared" si="11"/>
        <v>Mr Kamal Sarin</v>
      </c>
      <c r="N134" s="15">
        <f t="shared" ca="1" si="12"/>
        <v>45</v>
      </c>
      <c r="O134" s="15" t="str">
        <f t="shared" si="13"/>
        <v>High</v>
      </c>
      <c r="P134" s="15" t="str">
        <f t="shared" si="14"/>
        <v>Parents</v>
      </c>
      <c r="Q134" s="17" cm="1">
        <f t="array" ref="Q134">_xlfn.IFS(J134="Bachelor",1,
J134="Master",2,
J134="PhD",3)</f>
        <v>1</v>
      </c>
    </row>
    <row r="135" spans="1:17" x14ac:dyDescent="0.25">
      <c r="A135" s="14">
        <v>234</v>
      </c>
      <c r="B135" s="15" t="s">
        <v>18</v>
      </c>
      <c r="C135" s="15" t="s">
        <v>384</v>
      </c>
      <c r="D135" s="15" t="s">
        <v>318</v>
      </c>
      <c r="E135" s="16">
        <v>33874</v>
      </c>
      <c r="F135" s="15" t="s">
        <v>21</v>
      </c>
      <c r="G135" s="15" t="s">
        <v>385</v>
      </c>
      <c r="H135" s="15">
        <v>61000</v>
      </c>
      <c r="I135" s="15">
        <v>0</v>
      </c>
      <c r="J135" s="15" t="s">
        <v>16</v>
      </c>
      <c r="K135" s="15" t="s">
        <v>24</v>
      </c>
      <c r="L135" s="15" t="str">
        <f t="shared" si="10"/>
        <v>Single</v>
      </c>
      <c r="M135" s="15" t="str">
        <f t="shared" si="11"/>
        <v>Ms Simmi Bhalla</v>
      </c>
      <c r="N135" s="15">
        <f t="shared" ca="1" si="12"/>
        <v>33</v>
      </c>
      <c r="O135" s="15" t="str">
        <f t="shared" si="13"/>
        <v>Medium</v>
      </c>
      <c r="P135" s="15" t="str">
        <f t="shared" si="14"/>
        <v>Non Parents</v>
      </c>
      <c r="Q135" s="17" cm="1">
        <f t="array" ref="Q135">_xlfn.IFS(J135="Bachelor",1,
J135="Master",2,
J135="PhD",3)</f>
        <v>1</v>
      </c>
    </row>
    <row r="136" spans="1:17" x14ac:dyDescent="0.25">
      <c r="A136" s="14">
        <v>235</v>
      </c>
      <c r="B136" s="15" t="s">
        <v>11</v>
      </c>
      <c r="C136" s="15" t="s">
        <v>386</v>
      </c>
      <c r="D136" s="15" t="s">
        <v>321</v>
      </c>
      <c r="E136" s="16">
        <v>30336</v>
      </c>
      <c r="F136" s="15" t="s">
        <v>14</v>
      </c>
      <c r="G136" s="15" t="s">
        <v>387</v>
      </c>
      <c r="H136" s="15">
        <v>92000</v>
      </c>
      <c r="I136" s="15">
        <v>3</v>
      </c>
      <c r="J136" s="15" t="s">
        <v>23</v>
      </c>
      <c r="K136" s="15" t="s">
        <v>17</v>
      </c>
      <c r="L136" s="15" t="str">
        <f t="shared" si="10"/>
        <v>Married</v>
      </c>
      <c r="M136" s="15" t="str">
        <f t="shared" si="11"/>
        <v>Mr Arvind Mehra</v>
      </c>
      <c r="N136" s="15">
        <f t="shared" ca="1" si="12"/>
        <v>43</v>
      </c>
      <c r="O136" s="15" t="str">
        <f t="shared" si="13"/>
        <v>High</v>
      </c>
      <c r="P136" s="15" t="str">
        <f t="shared" si="14"/>
        <v>Parents</v>
      </c>
      <c r="Q136" s="17" cm="1">
        <f t="array" ref="Q136">_xlfn.IFS(J136="Bachelor",1,
J136="Master",2,
J136="PhD",3)</f>
        <v>2</v>
      </c>
    </row>
    <row r="137" spans="1:17" x14ac:dyDescent="0.25">
      <c r="A137" s="14">
        <v>236</v>
      </c>
      <c r="B137" s="15" t="s">
        <v>28</v>
      </c>
      <c r="C137" s="15" t="s">
        <v>388</v>
      </c>
      <c r="D137" s="15" t="s">
        <v>324</v>
      </c>
      <c r="E137" s="16">
        <v>32695</v>
      </c>
      <c r="F137" s="15" t="s">
        <v>21</v>
      </c>
      <c r="G137" s="15" t="s">
        <v>389</v>
      </c>
      <c r="H137" s="15">
        <v>73000</v>
      </c>
      <c r="I137" s="15">
        <v>2</v>
      </c>
      <c r="J137" s="15" t="s">
        <v>16</v>
      </c>
      <c r="K137" s="15" t="s">
        <v>17</v>
      </c>
      <c r="L137" s="15" t="str">
        <f t="shared" si="10"/>
        <v>Married</v>
      </c>
      <c r="M137" s="15" t="str">
        <f t="shared" si="11"/>
        <v>Mrs Shweta Kapur</v>
      </c>
      <c r="N137" s="15">
        <f t="shared" ca="1" si="12"/>
        <v>36</v>
      </c>
      <c r="O137" s="15" t="str">
        <f t="shared" si="13"/>
        <v>Medium</v>
      </c>
      <c r="P137" s="15" t="str">
        <f t="shared" si="14"/>
        <v>Parents</v>
      </c>
      <c r="Q137" s="17" cm="1">
        <f t="array" ref="Q137">_xlfn.IFS(J137="Bachelor",1,
J137="Master",2,
J137="PhD",3)</f>
        <v>1</v>
      </c>
    </row>
    <row r="138" spans="1:17" x14ac:dyDescent="0.25">
      <c r="A138" s="14">
        <v>237</v>
      </c>
      <c r="B138" s="15" t="s">
        <v>11</v>
      </c>
      <c r="C138" s="15" t="s">
        <v>390</v>
      </c>
      <c r="D138" s="15" t="s">
        <v>329</v>
      </c>
      <c r="E138" s="16">
        <v>29536</v>
      </c>
      <c r="F138" s="15" t="s">
        <v>14</v>
      </c>
      <c r="G138" s="15" t="s">
        <v>391</v>
      </c>
      <c r="H138" s="15">
        <v>97000</v>
      </c>
      <c r="I138" s="15">
        <v>4</v>
      </c>
      <c r="J138" s="15" t="s">
        <v>35</v>
      </c>
      <c r="K138" s="15" t="s">
        <v>17</v>
      </c>
      <c r="L138" s="15" t="str">
        <f t="shared" si="10"/>
        <v>Married</v>
      </c>
      <c r="M138" s="15" t="str">
        <f t="shared" si="11"/>
        <v>Mr Dheeraj Sood</v>
      </c>
      <c r="N138" s="15">
        <f t="shared" ca="1" si="12"/>
        <v>45</v>
      </c>
      <c r="O138" s="15" t="str">
        <f t="shared" si="13"/>
        <v>High</v>
      </c>
      <c r="P138" s="15" t="str">
        <f t="shared" si="14"/>
        <v>Parents</v>
      </c>
      <c r="Q138" s="17" cm="1">
        <f t="array" ref="Q138">_xlfn.IFS(J138="Bachelor",1,
J138="Master",2,
J138="PhD",3)</f>
        <v>3</v>
      </c>
    </row>
    <row r="139" spans="1:17" x14ac:dyDescent="0.25">
      <c r="A139" s="14">
        <v>238</v>
      </c>
      <c r="B139" s="15" t="s">
        <v>18</v>
      </c>
      <c r="C139" s="15" t="s">
        <v>392</v>
      </c>
      <c r="D139" s="15" t="s">
        <v>263</v>
      </c>
      <c r="E139" s="16">
        <v>34396</v>
      </c>
      <c r="F139" s="15" t="s">
        <v>21</v>
      </c>
      <c r="G139" s="15" t="s">
        <v>393</v>
      </c>
      <c r="H139" s="15">
        <v>59000</v>
      </c>
      <c r="I139" s="15">
        <v>0</v>
      </c>
      <c r="J139" s="15" t="s">
        <v>16</v>
      </c>
      <c r="K139" s="15" t="s">
        <v>24</v>
      </c>
      <c r="L139" s="15" t="str">
        <f t="shared" si="10"/>
        <v>Single</v>
      </c>
      <c r="M139" s="15" t="str">
        <f t="shared" si="11"/>
        <v>Ms Nikita Grover</v>
      </c>
      <c r="N139" s="15">
        <f t="shared" ca="1" si="12"/>
        <v>32</v>
      </c>
      <c r="O139" s="15" t="str">
        <f t="shared" si="13"/>
        <v>Low</v>
      </c>
      <c r="P139" s="15" t="str">
        <f t="shared" si="14"/>
        <v>Non Parents</v>
      </c>
      <c r="Q139" s="17" cm="1">
        <f t="array" ref="Q139">_xlfn.IFS(J139="Bachelor",1,
J139="Master",2,
J139="PhD",3)</f>
        <v>1</v>
      </c>
    </row>
    <row r="140" spans="1:17" x14ac:dyDescent="0.25">
      <c r="A140" s="14">
        <v>239</v>
      </c>
      <c r="B140" s="15" t="s">
        <v>11</v>
      </c>
      <c r="C140" s="15" t="s">
        <v>394</v>
      </c>
      <c r="D140" s="15" t="s">
        <v>70</v>
      </c>
      <c r="E140" s="16">
        <v>30130</v>
      </c>
      <c r="F140" s="15" t="s">
        <v>14</v>
      </c>
      <c r="G140" s="15" t="s">
        <v>395</v>
      </c>
      <c r="H140" s="15">
        <v>84000</v>
      </c>
      <c r="I140" s="15">
        <v>2</v>
      </c>
      <c r="J140" s="15" t="s">
        <v>23</v>
      </c>
      <c r="K140" s="15" t="s">
        <v>17</v>
      </c>
      <c r="L140" s="15" t="str">
        <f t="shared" si="10"/>
        <v>Married</v>
      </c>
      <c r="M140" s="15" t="str">
        <f t="shared" si="11"/>
        <v>Mr Lokesh Chopra</v>
      </c>
      <c r="N140" s="15">
        <f t="shared" ca="1" si="12"/>
        <v>43</v>
      </c>
      <c r="O140" s="15" t="str">
        <f t="shared" si="13"/>
        <v>Medium</v>
      </c>
      <c r="P140" s="15" t="str">
        <f t="shared" si="14"/>
        <v>Parents</v>
      </c>
      <c r="Q140" s="17" cm="1">
        <f t="array" ref="Q140">_xlfn.IFS(J140="Bachelor",1,
J140="Master",2,
J140="PhD",3)</f>
        <v>2</v>
      </c>
    </row>
    <row r="141" spans="1:17" x14ac:dyDescent="0.25">
      <c r="A141" s="14">
        <v>240</v>
      </c>
      <c r="B141" s="15" t="s">
        <v>28</v>
      </c>
      <c r="C141" s="15" t="s">
        <v>396</v>
      </c>
      <c r="D141" s="15" t="s">
        <v>58</v>
      </c>
      <c r="E141" s="16">
        <v>32379</v>
      </c>
      <c r="F141" s="15" t="s">
        <v>21</v>
      </c>
      <c r="G141" s="15" t="s">
        <v>397</v>
      </c>
      <c r="H141" s="15">
        <v>75000</v>
      </c>
      <c r="I141" s="15">
        <v>1</v>
      </c>
      <c r="J141" s="15" t="s">
        <v>16</v>
      </c>
      <c r="K141" s="15" t="s">
        <v>17</v>
      </c>
      <c r="L141" s="15" t="str">
        <f t="shared" si="10"/>
        <v>Single</v>
      </c>
      <c r="M141" s="15" t="str">
        <f t="shared" si="11"/>
        <v>Mrs Akriti Arora</v>
      </c>
      <c r="N141" s="15">
        <f t="shared" ca="1" si="12"/>
        <v>37</v>
      </c>
      <c r="O141" s="15" t="str">
        <f t="shared" si="13"/>
        <v>Medium</v>
      </c>
      <c r="P141" s="15" t="str">
        <f t="shared" si="14"/>
        <v>Non Parents</v>
      </c>
      <c r="Q141" s="17" cm="1">
        <f t="array" ref="Q141">_xlfn.IFS(J141="Bachelor",1,
J141="Master",2,
J141="PhD",3)</f>
        <v>1</v>
      </c>
    </row>
    <row r="142" spans="1:17" x14ac:dyDescent="0.25">
      <c r="A142" s="14">
        <v>241</v>
      </c>
      <c r="B142" s="15" t="s">
        <v>11</v>
      </c>
      <c r="C142" s="15" t="s">
        <v>398</v>
      </c>
      <c r="D142" s="15" t="s">
        <v>233</v>
      </c>
      <c r="E142" s="16">
        <v>29634</v>
      </c>
      <c r="F142" s="15" t="s">
        <v>14</v>
      </c>
      <c r="G142" s="15" t="s">
        <v>399</v>
      </c>
      <c r="H142" s="15">
        <v>89000</v>
      </c>
      <c r="I142" s="15">
        <v>3</v>
      </c>
      <c r="J142" s="15" t="s">
        <v>23</v>
      </c>
      <c r="K142" s="15" t="s">
        <v>17</v>
      </c>
      <c r="L142" s="15" t="str">
        <f t="shared" si="10"/>
        <v>Married</v>
      </c>
      <c r="M142" s="15" t="str">
        <f t="shared" si="11"/>
        <v>Mr Manav Malik</v>
      </c>
      <c r="N142" s="15">
        <f t="shared" ca="1" si="12"/>
        <v>45</v>
      </c>
      <c r="O142" s="15" t="str">
        <f t="shared" si="13"/>
        <v>High</v>
      </c>
      <c r="P142" s="15" t="str">
        <f t="shared" si="14"/>
        <v>Parents</v>
      </c>
      <c r="Q142" s="17" cm="1">
        <f t="array" ref="Q142">_xlfn.IFS(J142="Bachelor",1,
J142="Master",2,
J142="PhD",3)</f>
        <v>2</v>
      </c>
    </row>
    <row r="143" spans="1:17" x14ac:dyDescent="0.25">
      <c r="A143" s="14">
        <v>242</v>
      </c>
      <c r="B143" s="15" t="s">
        <v>18</v>
      </c>
      <c r="C143" s="15" t="s">
        <v>132</v>
      </c>
      <c r="D143" s="15" t="s">
        <v>339</v>
      </c>
      <c r="E143" s="16">
        <v>34243</v>
      </c>
      <c r="F143" s="15" t="s">
        <v>21</v>
      </c>
      <c r="G143" s="15" t="s">
        <v>400</v>
      </c>
      <c r="H143" s="15">
        <v>62000</v>
      </c>
      <c r="I143" s="15">
        <v>0</v>
      </c>
      <c r="J143" s="15" t="s">
        <v>16</v>
      </c>
      <c r="K143" s="15" t="s">
        <v>24</v>
      </c>
      <c r="L143" s="15" t="str">
        <f t="shared" si="10"/>
        <v>Single</v>
      </c>
      <c r="M143" s="15" t="str">
        <f t="shared" si="11"/>
        <v>Ms Juhi Batra</v>
      </c>
      <c r="N143" s="15">
        <f t="shared" ca="1" si="12"/>
        <v>32</v>
      </c>
      <c r="O143" s="15" t="str">
        <f t="shared" si="13"/>
        <v>Medium</v>
      </c>
      <c r="P143" s="15" t="str">
        <f t="shared" si="14"/>
        <v>Non Parents</v>
      </c>
      <c r="Q143" s="17" cm="1">
        <f t="array" ref="Q143">_xlfn.IFS(J143="Bachelor",1,
J143="Master",2,
J143="PhD",3)</f>
        <v>1</v>
      </c>
    </row>
    <row r="144" spans="1:17" x14ac:dyDescent="0.25">
      <c r="A144" s="14">
        <v>243</v>
      </c>
      <c r="B144" s="15" t="s">
        <v>11</v>
      </c>
      <c r="C144" s="15" t="s">
        <v>401</v>
      </c>
      <c r="D144" s="15" t="s">
        <v>342</v>
      </c>
      <c r="E144" s="16">
        <v>30781</v>
      </c>
      <c r="F144" s="15" t="s">
        <v>14</v>
      </c>
      <c r="G144" s="15" t="s">
        <v>402</v>
      </c>
      <c r="H144" s="15">
        <v>83000</v>
      </c>
      <c r="I144" s="15">
        <v>2</v>
      </c>
      <c r="J144" s="15" t="s">
        <v>16</v>
      </c>
      <c r="K144" s="15" t="s">
        <v>17</v>
      </c>
      <c r="L144" s="15" t="str">
        <f t="shared" si="10"/>
        <v>Married</v>
      </c>
      <c r="M144" s="15" t="str">
        <f t="shared" si="11"/>
        <v>Mr Sachit Nagpal</v>
      </c>
      <c r="N144" s="15">
        <f t="shared" ca="1" si="12"/>
        <v>42</v>
      </c>
      <c r="O144" s="15" t="str">
        <f t="shared" si="13"/>
        <v>Medium</v>
      </c>
      <c r="P144" s="15" t="str">
        <f t="shared" si="14"/>
        <v>Parents</v>
      </c>
      <c r="Q144" s="17" cm="1">
        <f t="array" ref="Q144">_xlfn.IFS(J144="Bachelor",1,
J144="Master",2,
J144="PhD",3)</f>
        <v>1</v>
      </c>
    </row>
    <row r="145" spans="1:17" x14ac:dyDescent="0.25">
      <c r="A145" s="14">
        <v>244</v>
      </c>
      <c r="B145" s="15" t="s">
        <v>28</v>
      </c>
      <c r="C145" s="15" t="s">
        <v>403</v>
      </c>
      <c r="D145" s="15" t="s">
        <v>216</v>
      </c>
      <c r="E145" s="16">
        <v>32132</v>
      </c>
      <c r="F145" s="15" t="s">
        <v>21</v>
      </c>
      <c r="G145" s="15" t="s">
        <v>404</v>
      </c>
      <c r="H145" s="15">
        <v>72000</v>
      </c>
      <c r="I145" s="15">
        <v>2</v>
      </c>
      <c r="J145" s="15" t="s">
        <v>23</v>
      </c>
      <c r="K145" s="15" t="s">
        <v>17</v>
      </c>
      <c r="L145" s="15" t="str">
        <f t="shared" si="10"/>
        <v>Married</v>
      </c>
      <c r="M145" s="15" t="str">
        <f t="shared" si="11"/>
        <v>Mrs Parul Puri</v>
      </c>
      <c r="N145" s="15">
        <f t="shared" ca="1" si="12"/>
        <v>38</v>
      </c>
      <c r="O145" s="15" t="str">
        <f t="shared" si="13"/>
        <v>Medium</v>
      </c>
      <c r="P145" s="15" t="str">
        <f t="shared" si="14"/>
        <v>Parents</v>
      </c>
      <c r="Q145" s="17" cm="1">
        <f t="array" ref="Q145">_xlfn.IFS(J145="Bachelor",1,
J145="Master",2,
J145="PhD",3)</f>
        <v>2</v>
      </c>
    </row>
    <row r="146" spans="1:17" x14ac:dyDescent="0.25">
      <c r="A146" s="14">
        <v>245</v>
      </c>
      <c r="B146" s="15" t="s">
        <v>11</v>
      </c>
      <c r="C146" s="15" t="s">
        <v>405</v>
      </c>
      <c r="D146" s="15" t="s">
        <v>242</v>
      </c>
      <c r="E146" s="16">
        <v>29357</v>
      </c>
      <c r="F146" s="15" t="s">
        <v>14</v>
      </c>
      <c r="G146" s="15" t="s">
        <v>406</v>
      </c>
      <c r="H146" s="15">
        <v>94000</v>
      </c>
      <c r="I146" s="15">
        <v>3</v>
      </c>
      <c r="J146" s="15" t="s">
        <v>35</v>
      </c>
      <c r="K146" s="15" t="s">
        <v>17</v>
      </c>
      <c r="L146" s="15" t="str">
        <f t="shared" si="10"/>
        <v>Married</v>
      </c>
      <c r="M146" s="15" t="str">
        <f t="shared" si="11"/>
        <v>Mr Amitabh Dua</v>
      </c>
      <c r="N146" s="15">
        <f t="shared" ca="1" si="12"/>
        <v>46</v>
      </c>
      <c r="O146" s="15" t="str">
        <f t="shared" si="13"/>
        <v>High</v>
      </c>
      <c r="P146" s="15" t="str">
        <f t="shared" si="14"/>
        <v>Parents</v>
      </c>
      <c r="Q146" s="17" cm="1">
        <f t="array" ref="Q146">_xlfn.IFS(J146="Bachelor",1,
J146="Master",2,
J146="PhD",3)</f>
        <v>3</v>
      </c>
    </row>
    <row r="147" spans="1:17" x14ac:dyDescent="0.25">
      <c r="A147" s="14">
        <v>246</v>
      </c>
      <c r="B147" s="15" t="s">
        <v>18</v>
      </c>
      <c r="C147" s="15" t="s">
        <v>309</v>
      </c>
      <c r="D147" s="15" t="s">
        <v>73</v>
      </c>
      <c r="E147" s="16">
        <v>33821</v>
      </c>
      <c r="F147" s="15" t="s">
        <v>21</v>
      </c>
      <c r="G147" s="15" t="s">
        <v>407</v>
      </c>
      <c r="H147" s="15">
        <v>60000</v>
      </c>
      <c r="I147" s="15">
        <v>0</v>
      </c>
      <c r="J147" s="15" t="s">
        <v>16</v>
      </c>
      <c r="K147" s="15" t="s">
        <v>24</v>
      </c>
      <c r="L147" s="15" t="str">
        <f t="shared" si="10"/>
        <v>Single</v>
      </c>
      <c r="M147" s="15" t="str">
        <f t="shared" si="11"/>
        <v>Ms Ruchi Sethi</v>
      </c>
      <c r="N147" s="15">
        <f t="shared" ca="1" si="12"/>
        <v>33</v>
      </c>
      <c r="O147" s="15" t="str">
        <f t="shared" si="13"/>
        <v>Medium</v>
      </c>
      <c r="P147" s="15" t="str">
        <f t="shared" si="14"/>
        <v>Non Parents</v>
      </c>
      <c r="Q147" s="17" cm="1">
        <f t="array" ref="Q147">_xlfn.IFS(J147="Bachelor",1,
J147="Master",2,
J147="PhD",3)</f>
        <v>1</v>
      </c>
    </row>
    <row r="148" spans="1:17" x14ac:dyDescent="0.25">
      <c r="A148" s="14">
        <v>247</v>
      </c>
      <c r="B148" s="15" t="s">
        <v>11</v>
      </c>
      <c r="C148" s="15" t="s">
        <v>271</v>
      </c>
      <c r="D148" s="15" t="s">
        <v>76</v>
      </c>
      <c r="E148" s="16">
        <v>30386</v>
      </c>
      <c r="F148" s="15" t="s">
        <v>14</v>
      </c>
      <c r="G148" s="15" t="s">
        <v>408</v>
      </c>
      <c r="H148" s="15">
        <v>86000</v>
      </c>
      <c r="I148" s="15">
        <v>2</v>
      </c>
      <c r="J148" s="15" t="s">
        <v>23</v>
      </c>
      <c r="K148" s="15" t="s">
        <v>17</v>
      </c>
      <c r="L148" s="15" t="str">
        <f t="shared" si="10"/>
        <v>Married</v>
      </c>
      <c r="M148" s="15" t="str">
        <f t="shared" si="11"/>
        <v>Mr Nikhil Khanna</v>
      </c>
      <c r="N148" s="15">
        <f t="shared" ca="1" si="12"/>
        <v>43</v>
      </c>
      <c r="O148" s="15" t="str">
        <f t="shared" si="13"/>
        <v>High</v>
      </c>
      <c r="P148" s="15" t="str">
        <f t="shared" si="14"/>
        <v>Parents</v>
      </c>
      <c r="Q148" s="17" cm="1">
        <f t="array" ref="Q148">_xlfn.IFS(J148="Bachelor",1,
J148="Master",2,
J148="PhD",3)</f>
        <v>2</v>
      </c>
    </row>
    <row r="149" spans="1:17" x14ac:dyDescent="0.25">
      <c r="A149" s="14">
        <v>248</v>
      </c>
      <c r="B149" s="15" t="s">
        <v>28</v>
      </c>
      <c r="C149" s="15" t="s">
        <v>280</v>
      </c>
      <c r="D149" s="15" t="s">
        <v>236</v>
      </c>
      <c r="E149" s="16">
        <v>32404</v>
      </c>
      <c r="F149" s="15" t="s">
        <v>21</v>
      </c>
      <c r="G149" s="15" t="s">
        <v>409</v>
      </c>
      <c r="H149" s="15">
        <v>74000</v>
      </c>
      <c r="I149" s="15">
        <v>1</v>
      </c>
      <c r="J149" s="15" t="s">
        <v>16</v>
      </c>
      <c r="K149" s="15" t="s">
        <v>17</v>
      </c>
      <c r="L149" s="15" t="str">
        <f t="shared" si="10"/>
        <v>Single</v>
      </c>
      <c r="M149" s="15" t="str">
        <f t="shared" si="11"/>
        <v>Mrs Garima Chawla</v>
      </c>
      <c r="N149" s="15">
        <f t="shared" ca="1" si="12"/>
        <v>37</v>
      </c>
      <c r="O149" s="15" t="str">
        <f t="shared" si="13"/>
        <v>Medium</v>
      </c>
      <c r="P149" s="15" t="str">
        <f t="shared" si="14"/>
        <v>Non Parents</v>
      </c>
      <c r="Q149" s="17" cm="1">
        <f t="array" ref="Q149">_xlfn.IFS(J149="Bachelor",1,
J149="Master",2,
J149="PhD",3)</f>
        <v>1</v>
      </c>
    </row>
    <row r="150" spans="1:17" x14ac:dyDescent="0.25">
      <c r="A150" s="14">
        <v>249</v>
      </c>
      <c r="B150" s="15" t="s">
        <v>11</v>
      </c>
      <c r="C150" s="15" t="s">
        <v>295</v>
      </c>
      <c r="D150" s="15" t="s">
        <v>210</v>
      </c>
      <c r="E150" s="16">
        <v>29794</v>
      </c>
      <c r="F150" s="15" t="s">
        <v>14</v>
      </c>
      <c r="G150" s="15" t="s">
        <v>410</v>
      </c>
      <c r="H150" s="15">
        <v>91000</v>
      </c>
      <c r="I150" s="15">
        <v>3</v>
      </c>
      <c r="J150" s="15" t="s">
        <v>23</v>
      </c>
      <c r="K150" s="15" t="s">
        <v>17</v>
      </c>
      <c r="L150" s="15" t="str">
        <f t="shared" si="10"/>
        <v>Married</v>
      </c>
      <c r="M150" s="15" t="str">
        <f t="shared" si="11"/>
        <v>Mr Aditya Anand</v>
      </c>
      <c r="N150" s="15">
        <f t="shared" ca="1" si="12"/>
        <v>44</v>
      </c>
      <c r="O150" s="15" t="str">
        <f t="shared" si="13"/>
        <v>High</v>
      </c>
      <c r="P150" s="15" t="str">
        <f t="shared" si="14"/>
        <v>Parents</v>
      </c>
      <c r="Q150" s="17" cm="1">
        <f t="array" ref="Q150">_xlfn.IFS(J150="Bachelor",1,
J150="Master",2,
J150="PhD",3)</f>
        <v>2</v>
      </c>
    </row>
    <row r="151" spans="1:17" x14ac:dyDescent="0.25">
      <c r="A151" s="14">
        <v>250</v>
      </c>
      <c r="B151" s="15" t="s">
        <v>18</v>
      </c>
      <c r="C151" s="15" t="s">
        <v>411</v>
      </c>
      <c r="D151" s="15" t="s">
        <v>222</v>
      </c>
      <c r="E151" s="16">
        <v>34347</v>
      </c>
      <c r="F151" s="15" t="s">
        <v>21</v>
      </c>
      <c r="G151" s="15" t="s">
        <v>412</v>
      </c>
      <c r="H151" s="15">
        <v>61000</v>
      </c>
      <c r="I151" s="15">
        <v>0</v>
      </c>
      <c r="J151" s="15" t="s">
        <v>16</v>
      </c>
      <c r="K151" s="15" t="s">
        <v>24</v>
      </c>
      <c r="L151" s="15" t="str">
        <f t="shared" si="10"/>
        <v>Single</v>
      </c>
      <c r="M151" s="15" t="str">
        <f t="shared" si="11"/>
        <v>Ms Sonam Luthra</v>
      </c>
      <c r="N151" s="15">
        <f t="shared" ca="1" si="12"/>
        <v>32</v>
      </c>
      <c r="O151" s="15" t="str">
        <f t="shared" si="13"/>
        <v>Medium</v>
      </c>
      <c r="P151" s="15" t="str">
        <f t="shared" si="14"/>
        <v>Non Parents</v>
      </c>
      <c r="Q151" s="17" cm="1">
        <f t="array" ref="Q151">_xlfn.IFS(J151="Bachelor",1,
J151="Master",2,
J151="PhD",3)</f>
        <v>1</v>
      </c>
    </row>
    <row r="152" spans="1:17" x14ac:dyDescent="0.25">
      <c r="A152" s="14">
        <v>251</v>
      </c>
      <c r="B152" s="15" t="s">
        <v>11</v>
      </c>
      <c r="C152" s="15" t="s">
        <v>413</v>
      </c>
      <c r="D152" s="15" t="s">
        <v>284</v>
      </c>
      <c r="E152" s="16">
        <v>30262</v>
      </c>
      <c r="F152" s="15" t="s">
        <v>14</v>
      </c>
      <c r="G152" s="15" t="s">
        <v>414</v>
      </c>
      <c r="H152" s="15">
        <v>85000</v>
      </c>
      <c r="I152" s="15">
        <v>2</v>
      </c>
      <c r="J152" s="15" t="s">
        <v>16</v>
      </c>
      <c r="K152" s="15" t="s">
        <v>17</v>
      </c>
      <c r="L152" s="15" t="str">
        <f t="shared" si="10"/>
        <v>Married</v>
      </c>
      <c r="M152" s="15" t="str">
        <f t="shared" si="11"/>
        <v>Mr Harish Kalra</v>
      </c>
      <c r="N152" s="15">
        <f t="shared" ca="1" si="12"/>
        <v>43</v>
      </c>
      <c r="O152" s="15" t="str">
        <f t="shared" si="13"/>
        <v>High</v>
      </c>
      <c r="P152" s="15" t="str">
        <f t="shared" si="14"/>
        <v>Parents</v>
      </c>
      <c r="Q152" s="17" cm="1">
        <f t="array" ref="Q152">_xlfn.IFS(J152="Bachelor",1,
J152="Master",2,
J152="PhD",3)</f>
        <v>1</v>
      </c>
    </row>
    <row r="153" spans="1:17" x14ac:dyDescent="0.25">
      <c r="A153" s="14">
        <v>252</v>
      </c>
      <c r="B153" s="15" t="s">
        <v>28</v>
      </c>
      <c r="C153" s="15" t="s">
        <v>415</v>
      </c>
      <c r="D153" s="15" t="s">
        <v>281</v>
      </c>
      <c r="E153" s="16">
        <v>31957</v>
      </c>
      <c r="F153" s="15" t="s">
        <v>21</v>
      </c>
      <c r="G153" s="15" t="s">
        <v>416</v>
      </c>
      <c r="H153" s="15">
        <v>73000</v>
      </c>
      <c r="I153" s="15">
        <v>2</v>
      </c>
      <c r="J153" s="15" t="s">
        <v>23</v>
      </c>
      <c r="K153" s="15" t="s">
        <v>17</v>
      </c>
      <c r="L153" s="15" t="str">
        <f t="shared" si="10"/>
        <v>Married</v>
      </c>
      <c r="M153" s="15" t="str">
        <f t="shared" si="11"/>
        <v>Mrs Tina Talwar</v>
      </c>
      <c r="N153" s="15">
        <f t="shared" ca="1" si="12"/>
        <v>38</v>
      </c>
      <c r="O153" s="15" t="str">
        <f t="shared" si="13"/>
        <v>Medium</v>
      </c>
      <c r="P153" s="15" t="str">
        <f t="shared" si="14"/>
        <v>Parents</v>
      </c>
      <c r="Q153" s="17" cm="1">
        <f t="array" ref="Q153">_xlfn.IFS(J153="Bachelor",1,
J153="Master",2,
J153="PhD",3)</f>
        <v>2</v>
      </c>
    </row>
    <row r="154" spans="1:17" x14ac:dyDescent="0.25">
      <c r="A154" s="14">
        <v>253</v>
      </c>
      <c r="B154" s="15" t="s">
        <v>11</v>
      </c>
      <c r="C154" s="15" t="s">
        <v>417</v>
      </c>
      <c r="D154" s="15" t="s">
        <v>266</v>
      </c>
      <c r="E154" s="16">
        <v>29486</v>
      </c>
      <c r="F154" s="15" t="s">
        <v>14</v>
      </c>
      <c r="G154" s="15" t="s">
        <v>418</v>
      </c>
      <c r="H154" s="15">
        <v>93000</v>
      </c>
      <c r="I154" s="15">
        <v>3</v>
      </c>
      <c r="J154" s="15" t="s">
        <v>35</v>
      </c>
      <c r="K154" s="15" t="s">
        <v>17</v>
      </c>
      <c r="L154" s="15" t="str">
        <f t="shared" si="10"/>
        <v>Married</v>
      </c>
      <c r="M154" s="15" t="str">
        <f t="shared" si="11"/>
        <v>Mr Puneet Wadhwa</v>
      </c>
      <c r="N154" s="15">
        <f t="shared" ca="1" si="12"/>
        <v>45</v>
      </c>
      <c r="O154" s="15" t="str">
        <f t="shared" si="13"/>
        <v>High</v>
      </c>
      <c r="P154" s="15" t="str">
        <f t="shared" si="14"/>
        <v>Parents</v>
      </c>
      <c r="Q154" s="17" cm="1">
        <f t="array" ref="Q154">_xlfn.IFS(J154="Bachelor",1,
J154="Master",2,
J154="PhD",3)</f>
        <v>3</v>
      </c>
    </row>
    <row r="155" spans="1:17" x14ac:dyDescent="0.25">
      <c r="A155" s="14">
        <v>254</v>
      </c>
      <c r="B155" s="15" t="s">
        <v>18</v>
      </c>
      <c r="C155" s="15" t="s">
        <v>419</v>
      </c>
      <c r="D155" s="15" t="s">
        <v>269</v>
      </c>
      <c r="E155" s="16">
        <v>34014</v>
      </c>
      <c r="F155" s="15" t="s">
        <v>21</v>
      </c>
      <c r="G155" s="15" t="s">
        <v>420</v>
      </c>
      <c r="H155" s="15">
        <v>62000</v>
      </c>
      <c r="I155" s="15">
        <v>0</v>
      </c>
      <c r="J155" s="15" t="s">
        <v>16</v>
      </c>
      <c r="K155" s="15" t="s">
        <v>24</v>
      </c>
      <c r="L155" s="15" t="str">
        <f t="shared" si="10"/>
        <v>Single</v>
      </c>
      <c r="M155" s="15" t="str">
        <f t="shared" si="11"/>
        <v>Ms Muskaan Saluja</v>
      </c>
      <c r="N155" s="15">
        <f t="shared" ca="1" si="12"/>
        <v>33</v>
      </c>
      <c r="O155" s="15" t="str">
        <f t="shared" si="13"/>
        <v>Medium</v>
      </c>
      <c r="P155" s="15" t="str">
        <f t="shared" si="14"/>
        <v>Non Parents</v>
      </c>
      <c r="Q155" s="17" cm="1">
        <f t="array" ref="Q155">_xlfn.IFS(J155="Bachelor",1,
J155="Master",2,
J155="PhD",3)</f>
        <v>1</v>
      </c>
    </row>
    <row r="156" spans="1:17" x14ac:dyDescent="0.25">
      <c r="A156" s="14">
        <v>255</v>
      </c>
      <c r="B156" s="15" t="s">
        <v>11</v>
      </c>
      <c r="C156" s="15" t="s">
        <v>135</v>
      </c>
      <c r="D156" s="15" t="s">
        <v>272</v>
      </c>
      <c r="E156" s="16">
        <v>31020</v>
      </c>
      <c r="F156" s="15" t="s">
        <v>14</v>
      </c>
      <c r="G156" s="15" t="s">
        <v>421</v>
      </c>
      <c r="H156" s="15">
        <v>84000</v>
      </c>
      <c r="I156" s="15">
        <v>2</v>
      </c>
      <c r="J156" s="15" t="s">
        <v>23</v>
      </c>
      <c r="K156" s="15" t="s">
        <v>17</v>
      </c>
      <c r="L156" s="15" t="str">
        <f t="shared" si="10"/>
        <v>Married</v>
      </c>
      <c r="M156" s="15" t="str">
        <f t="shared" si="11"/>
        <v>Mr Varun Juneja</v>
      </c>
      <c r="N156" s="15">
        <f t="shared" ca="1" si="12"/>
        <v>41</v>
      </c>
      <c r="O156" s="15" t="str">
        <f t="shared" si="13"/>
        <v>Medium</v>
      </c>
      <c r="P156" s="15" t="str">
        <f t="shared" si="14"/>
        <v>Parents</v>
      </c>
      <c r="Q156" s="17" cm="1">
        <f t="array" ref="Q156">_xlfn.IFS(J156="Bachelor",1,
J156="Master",2,
J156="PhD",3)</f>
        <v>2</v>
      </c>
    </row>
    <row r="157" spans="1:17" x14ac:dyDescent="0.25">
      <c r="A157" s="14">
        <v>256</v>
      </c>
      <c r="B157" s="15" t="s">
        <v>28</v>
      </c>
      <c r="C157" s="15" t="s">
        <v>66</v>
      </c>
      <c r="D157" s="15" t="s">
        <v>275</v>
      </c>
      <c r="E157" s="16">
        <v>32259</v>
      </c>
      <c r="F157" s="15" t="s">
        <v>21</v>
      </c>
      <c r="G157" s="15" t="s">
        <v>422</v>
      </c>
      <c r="H157" s="15">
        <v>74000</v>
      </c>
      <c r="I157" s="15">
        <v>1</v>
      </c>
      <c r="J157" s="15" t="s">
        <v>16</v>
      </c>
      <c r="K157" s="15" t="s">
        <v>17</v>
      </c>
      <c r="L157" s="15" t="str">
        <f t="shared" si="10"/>
        <v>Single</v>
      </c>
      <c r="M157" s="15" t="str">
        <f t="shared" si="11"/>
        <v>Mrs Divya Ahuja</v>
      </c>
      <c r="N157" s="15">
        <f t="shared" ca="1" si="12"/>
        <v>38</v>
      </c>
      <c r="O157" s="15" t="str">
        <f t="shared" si="13"/>
        <v>Medium</v>
      </c>
      <c r="P157" s="15" t="str">
        <f t="shared" si="14"/>
        <v>Non Parents</v>
      </c>
      <c r="Q157" s="17" cm="1">
        <f t="array" ref="Q157">_xlfn.IFS(J157="Bachelor",1,
J157="Master",2,
J157="PhD",3)</f>
        <v>1</v>
      </c>
    </row>
    <row r="158" spans="1:17" x14ac:dyDescent="0.25">
      <c r="A158" s="14">
        <v>257</v>
      </c>
      <c r="B158" s="15" t="s">
        <v>11</v>
      </c>
      <c r="C158" s="15" t="s">
        <v>423</v>
      </c>
      <c r="D158" s="15" t="s">
        <v>278</v>
      </c>
      <c r="E158" s="16">
        <v>29810</v>
      </c>
      <c r="F158" s="15" t="s">
        <v>14</v>
      </c>
      <c r="G158" s="15" t="s">
        <v>424</v>
      </c>
      <c r="H158" s="15">
        <v>89000</v>
      </c>
      <c r="I158" s="15">
        <v>3</v>
      </c>
      <c r="J158" s="15" t="s">
        <v>23</v>
      </c>
      <c r="K158" s="15" t="s">
        <v>17</v>
      </c>
      <c r="L158" s="15" t="str">
        <f t="shared" si="10"/>
        <v>Married</v>
      </c>
      <c r="M158" s="15" t="str">
        <f t="shared" si="11"/>
        <v>Mr Kartik Behl</v>
      </c>
      <c r="N158" s="15">
        <f t="shared" ca="1" si="12"/>
        <v>44</v>
      </c>
      <c r="O158" s="15" t="str">
        <f t="shared" si="13"/>
        <v>High</v>
      </c>
      <c r="P158" s="15" t="str">
        <f t="shared" si="14"/>
        <v>Parents</v>
      </c>
      <c r="Q158" s="17" cm="1">
        <f t="array" ref="Q158">_xlfn.IFS(J158="Bachelor",1,
J158="Master",2,
J158="PhD",3)</f>
        <v>2</v>
      </c>
    </row>
    <row r="159" spans="1:17" x14ac:dyDescent="0.25">
      <c r="A159" s="14">
        <v>258</v>
      </c>
      <c r="B159" s="15" t="s">
        <v>18</v>
      </c>
      <c r="C159" s="15" t="s">
        <v>425</v>
      </c>
      <c r="D159" s="15" t="s">
        <v>287</v>
      </c>
      <c r="E159" s="16">
        <v>33755</v>
      </c>
      <c r="F159" s="15" t="s">
        <v>21</v>
      </c>
      <c r="G159" s="15" t="s">
        <v>426</v>
      </c>
      <c r="H159" s="15">
        <v>61000</v>
      </c>
      <c r="I159" s="15">
        <v>0</v>
      </c>
      <c r="J159" s="15" t="s">
        <v>16</v>
      </c>
      <c r="K159" s="15" t="s">
        <v>24</v>
      </c>
      <c r="L159" s="15" t="str">
        <f t="shared" si="10"/>
        <v>Single</v>
      </c>
      <c r="M159" s="15" t="str">
        <f t="shared" si="11"/>
        <v>Ms Ishita Rishi</v>
      </c>
      <c r="N159" s="15">
        <f t="shared" ca="1" si="12"/>
        <v>34</v>
      </c>
      <c r="O159" s="15" t="str">
        <f t="shared" si="13"/>
        <v>Medium</v>
      </c>
      <c r="P159" s="15" t="str">
        <f t="shared" si="14"/>
        <v>Non Parents</v>
      </c>
      <c r="Q159" s="17" cm="1">
        <f t="array" ref="Q159">_xlfn.IFS(J159="Bachelor",1,
J159="Master",2,
J159="PhD",3)</f>
        <v>1</v>
      </c>
    </row>
    <row r="160" spans="1:17" x14ac:dyDescent="0.25">
      <c r="A160" s="14">
        <v>259</v>
      </c>
      <c r="B160" s="15" t="s">
        <v>11</v>
      </c>
      <c r="C160" s="15" t="s">
        <v>63</v>
      </c>
      <c r="D160" s="15" t="s">
        <v>290</v>
      </c>
      <c r="E160" s="16">
        <v>30607</v>
      </c>
      <c r="F160" s="15" t="s">
        <v>14</v>
      </c>
      <c r="G160" s="15" t="s">
        <v>427</v>
      </c>
      <c r="H160" s="15">
        <v>92000</v>
      </c>
      <c r="I160" s="15">
        <v>3</v>
      </c>
      <c r="J160" s="15" t="s">
        <v>35</v>
      </c>
      <c r="K160" s="15" t="s">
        <v>17</v>
      </c>
      <c r="L160" s="15" t="str">
        <f t="shared" si="10"/>
        <v>Married</v>
      </c>
      <c r="M160" s="15" t="str">
        <f t="shared" si="11"/>
        <v>Mr Sandeep Pahwa</v>
      </c>
      <c r="N160" s="15">
        <f t="shared" ca="1" si="12"/>
        <v>42</v>
      </c>
      <c r="O160" s="15" t="str">
        <f t="shared" si="13"/>
        <v>High</v>
      </c>
      <c r="P160" s="15" t="str">
        <f t="shared" si="14"/>
        <v>Parents</v>
      </c>
      <c r="Q160" s="17" cm="1">
        <f t="array" ref="Q160">_xlfn.IFS(J160="Bachelor",1,
J160="Master",2,
J160="PhD",3)</f>
        <v>3</v>
      </c>
    </row>
    <row r="161" spans="1:17" x14ac:dyDescent="0.25">
      <c r="A161" s="14">
        <v>260</v>
      </c>
      <c r="B161" s="15" t="s">
        <v>28</v>
      </c>
      <c r="C161" s="15" t="s">
        <v>428</v>
      </c>
      <c r="D161" s="15" t="s">
        <v>293</v>
      </c>
      <c r="E161" s="16">
        <v>31786</v>
      </c>
      <c r="F161" s="15" t="s">
        <v>21</v>
      </c>
      <c r="G161" s="15" t="s">
        <v>429</v>
      </c>
      <c r="H161" s="15">
        <v>73000</v>
      </c>
      <c r="I161" s="15">
        <v>2</v>
      </c>
      <c r="J161" s="15" t="s">
        <v>23</v>
      </c>
      <c r="K161" s="15" t="s">
        <v>17</v>
      </c>
      <c r="L161" s="15" t="str">
        <f t="shared" si="10"/>
        <v>Married</v>
      </c>
      <c r="M161" s="15" t="str">
        <f t="shared" si="11"/>
        <v>Mrs Aastha Dang</v>
      </c>
      <c r="N161" s="15">
        <f t="shared" ca="1" si="12"/>
        <v>39</v>
      </c>
      <c r="O161" s="15" t="str">
        <f t="shared" si="13"/>
        <v>Medium</v>
      </c>
      <c r="P161" s="15" t="str">
        <f t="shared" si="14"/>
        <v>Parents</v>
      </c>
      <c r="Q161" s="17" cm="1">
        <f t="array" ref="Q161">_xlfn.IFS(J161="Bachelor",1,
J161="Master",2,
J161="PhD",3)</f>
        <v>2</v>
      </c>
    </row>
    <row r="162" spans="1:17" x14ac:dyDescent="0.25">
      <c r="A162" s="14">
        <v>261</v>
      </c>
      <c r="B162" s="15" t="s">
        <v>11</v>
      </c>
      <c r="C162" s="15" t="s">
        <v>430</v>
      </c>
      <c r="D162" s="15" t="s">
        <v>296</v>
      </c>
      <c r="E162" s="16">
        <v>30157</v>
      </c>
      <c r="F162" s="15" t="s">
        <v>14</v>
      </c>
      <c r="G162" s="15" t="s">
        <v>431</v>
      </c>
      <c r="H162" s="15">
        <v>85000</v>
      </c>
      <c r="I162" s="15">
        <v>2</v>
      </c>
      <c r="J162" s="15" t="s">
        <v>16</v>
      </c>
      <c r="K162" s="15" t="s">
        <v>17</v>
      </c>
      <c r="L162" s="15" t="str">
        <f t="shared" si="10"/>
        <v>Married</v>
      </c>
      <c r="M162" s="15" t="str">
        <f t="shared" si="11"/>
        <v>Mr Abhinav Sehgal</v>
      </c>
      <c r="N162" s="15">
        <f t="shared" ca="1" si="12"/>
        <v>43</v>
      </c>
      <c r="O162" s="15" t="str">
        <f t="shared" si="13"/>
        <v>High</v>
      </c>
      <c r="P162" s="15" t="str">
        <f t="shared" si="14"/>
        <v>Parents</v>
      </c>
      <c r="Q162" s="17" cm="1">
        <f t="array" ref="Q162">_xlfn.IFS(J162="Bachelor",1,
J162="Master",2,
J162="PhD",3)</f>
        <v>1</v>
      </c>
    </row>
    <row r="163" spans="1:17" x14ac:dyDescent="0.25">
      <c r="A163" s="14">
        <v>262</v>
      </c>
      <c r="B163" s="15" t="s">
        <v>18</v>
      </c>
      <c r="C163" s="15" t="s">
        <v>432</v>
      </c>
      <c r="D163" s="15" t="s">
        <v>304</v>
      </c>
      <c r="E163" s="16">
        <v>34410</v>
      </c>
      <c r="F163" s="15" t="s">
        <v>21</v>
      </c>
      <c r="G163" s="15" t="s">
        <v>433</v>
      </c>
      <c r="H163" s="15">
        <v>60000</v>
      </c>
      <c r="I163" s="15">
        <v>0</v>
      </c>
      <c r="J163" s="15" t="s">
        <v>16</v>
      </c>
      <c r="K163" s="15" t="s">
        <v>24</v>
      </c>
      <c r="L163" s="15" t="str">
        <f t="shared" si="10"/>
        <v>Single</v>
      </c>
      <c r="M163" s="15" t="str">
        <f t="shared" si="11"/>
        <v>Ms Khushi Bajaj</v>
      </c>
      <c r="N163" s="15">
        <f t="shared" ca="1" si="12"/>
        <v>32</v>
      </c>
      <c r="O163" s="15" t="str">
        <f t="shared" si="13"/>
        <v>Medium</v>
      </c>
      <c r="P163" s="15" t="str">
        <f t="shared" si="14"/>
        <v>Non Parents</v>
      </c>
      <c r="Q163" s="17" cm="1">
        <f t="array" ref="Q163">_xlfn.IFS(J163="Bachelor",1,
J163="Master",2,
J163="PhD",3)</f>
        <v>1</v>
      </c>
    </row>
    <row r="164" spans="1:17" x14ac:dyDescent="0.25">
      <c r="A164" s="14">
        <v>263</v>
      </c>
      <c r="B164" s="15" t="s">
        <v>11</v>
      </c>
      <c r="C164" s="15" t="s">
        <v>323</v>
      </c>
      <c r="D164" s="15" t="s">
        <v>307</v>
      </c>
      <c r="E164" s="16">
        <v>29910</v>
      </c>
      <c r="F164" s="15" t="s">
        <v>14</v>
      </c>
      <c r="G164" s="15" t="s">
        <v>434</v>
      </c>
      <c r="H164" s="15">
        <v>90000</v>
      </c>
      <c r="I164" s="15">
        <v>3</v>
      </c>
      <c r="J164" s="15" t="s">
        <v>23</v>
      </c>
      <c r="K164" s="15" t="s">
        <v>17</v>
      </c>
      <c r="L164" s="15" t="str">
        <f t="shared" si="10"/>
        <v>Married</v>
      </c>
      <c r="M164" s="15" t="str">
        <f t="shared" si="11"/>
        <v>Mr Rajat Chadha</v>
      </c>
      <c r="N164" s="15">
        <f t="shared" ca="1" si="12"/>
        <v>44</v>
      </c>
      <c r="O164" s="15" t="str">
        <f t="shared" si="13"/>
        <v>High</v>
      </c>
      <c r="P164" s="15" t="str">
        <f t="shared" si="14"/>
        <v>Parents</v>
      </c>
      <c r="Q164" s="17" cm="1">
        <f t="array" ref="Q164">_xlfn.IFS(J164="Bachelor",1,
J164="Master",2,
J164="PhD",3)</f>
        <v>2</v>
      </c>
    </row>
    <row r="165" spans="1:17" x14ac:dyDescent="0.25">
      <c r="A165" s="14">
        <v>264</v>
      </c>
      <c r="B165" s="15" t="s">
        <v>28</v>
      </c>
      <c r="C165" s="15" t="s">
        <v>256</v>
      </c>
      <c r="D165" s="15" t="s">
        <v>310</v>
      </c>
      <c r="E165" s="16">
        <v>32305</v>
      </c>
      <c r="F165" s="15" t="s">
        <v>21</v>
      </c>
      <c r="G165" s="15" t="s">
        <v>435</v>
      </c>
      <c r="H165" s="15">
        <v>74000</v>
      </c>
      <c r="I165" s="15">
        <v>1</v>
      </c>
      <c r="J165" s="15" t="s">
        <v>16</v>
      </c>
      <c r="K165" s="15" t="s">
        <v>17</v>
      </c>
      <c r="L165" s="15" t="str">
        <f t="shared" si="10"/>
        <v>Single</v>
      </c>
      <c r="M165" s="15" t="str">
        <f t="shared" si="11"/>
        <v>Mrs Kanika Madan</v>
      </c>
      <c r="N165" s="15">
        <f t="shared" ca="1" si="12"/>
        <v>37</v>
      </c>
      <c r="O165" s="15" t="str">
        <f t="shared" si="13"/>
        <v>Medium</v>
      </c>
      <c r="P165" s="15" t="str">
        <f t="shared" si="14"/>
        <v>Non Parents</v>
      </c>
      <c r="Q165" s="17" cm="1">
        <f t="array" ref="Q165">_xlfn.IFS(J165="Bachelor",1,
J165="Master",2,
J165="PhD",3)</f>
        <v>1</v>
      </c>
    </row>
    <row r="166" spans="1:17" x14ac:dyDescent="0.25">
      <c r="A166" s="14">
        <v>265</v>
      </c>
      <c r="B166" s="15" t="s">
        <v>11</v>
      </c>
      <c r="C166" s="15" t="s">
        <v>123</v>
      </c>
      <c r="D166" s="15" t="s">
        <v>313</v>
      </c>
      <c r="E166" s="16">
        <v>30346</v>
      </c>
      <c r="F166" s="15" t="s">
        <v>14</v>
      </c>
      <c r="G166" s="15" t="s">
        <v>436</v>
      </c>
      <c r="H166" s="15">
        <v>83000</v>
      </c>
      <c r="I166" s="15">
        <v>2</v>
      </c>
      <c r="J166" s="15" t="s">
        <v>23</v>
      </c>
      <c r="K166" s="15" t="s">
        <v>17</v>
      </c>
      <c r="L166" s="15" t="str">
        <f t="shared" si="10"/>
        <v>Married</v>
      </c>
      <c r="M166" s="15" t="str">
        <f t="shared" si="11"/>
        <v>Mr Mohit Sarin</v>
      </c>
      <c r="N166" s="15">
        <f t="shared" ca="1" si="12"/>
        <v>43</v>
      </c>
      <c r="O166" s="15" t="str">
        <f t="shared" si="13"/>
        <v>Medium</v>
      </c>
      <c r="P166" s="15" t="str">
        <f t="shared" si="14"/>
        <v>Parents</v>
      </c>
      <c r="Q166" s="17" cm="1">
        <f t="array" ref="Q166">_xlfn.IFS(J166="Bachelor",1,
J166="Master",2,
J166="PhD",3)</f>
        <v>2</v>
      </c>
    </row>
    <row r="167" spans="1:17" x14ac:dyDescent="0.25">
      <c r="A167" s="14">
        <v>266</v>
      </c>
      <c r="B167" s="15" t="s">
        <v>18</v>
      </c>
      <c r="C167" s="15" t="s">
        <v>437</v>
      </c>
      <c r="D167" s="15" t="s">
        <v>318</v>
      </c>
      <c r="E167" s="16">
        <v>34228</v>
      </c>
      <c r="F167" s="15" t="s">
        <v>21</v>
      </c>
      <c r="G167" s="15" t="s">
        <v>438</v>
      </c>
      <c r="H167" s="15">
        <v>62000</v>
      </c>
      <c r="I167" s="15">
        <v>0</v>
      </c>
      <c r="J167" s="15" t="s">
        <v>16</v>
      </c>
      <c r="K167" s="15" t="s">
        <v>24</v>
      </c>
      <c r="L167" s="15" t="str">
        <f t="shared" si="10"/>
        <v>Single</v>
      </c>
      <c r="M167" s="15" t="str">
        <f t="shared" si="11"/>
        <v>Ms Roshni Bhalla</v>
      </c>
      <c r="N167" s="15">
        <f t="shared" ca="1" si="12"/>
        <v>32</v>
      </c>
      <c r="O167" s="15" t="str">
        <f t="shared" si="13"/>
        <v>Medium</v>
      </c>
      <c r="P167" s="15" t="str">
        <f t="shared" si="14"/>
        <v>Non Parents</v>
      </c>
      <c r="Q167" s="17" cm="1">
        <f t="array" ref="Q167">_xlfn.IFS(J167="Bachelor",1,
J167="Master",2,
J167="PhD",3)</f>
        <v>1</v>
      </c>
    </row>
    <row r="168" spans="1:17" x14ac:dyDescent="0.25">
      <c r="A168" s="14">
        <v>267</v>
      </c>
      <c r="B168" s="15" t="s">
        <v>11</v>
      </c>
      <c r="C168" s="15" t="s">
        <v>210</v>
      </c>
      <c r="D168" s="15" t="s">
        <v>321</v>
      </c>
      <c r="E168" s="16">
        <v>29332</v>
      </c>
      <c r="F168" s="15" t="s">
        <v>14</v>
      </c>
      <c r="G168" s="15" t="s">
        <v>439</v>
      </c>
      <c r="H168" s="15">
        <v>94000</v>
      </c>
      <c r="I168" s="15">
        <v>4</v>
      </c>
      <c r="J168" s="15" t="s">
        <v>35</v>
      </c>
      <c r="K168" s="15" t="s">
        <v>17</v>
      </c>
      <c r="L168" s="15" t="str">
        <f t="shared" si="10"/>
        <v>Married</v>
      </c>
      <c r="M168" s="15" t="str">
        <f t="shared" si="11"/>
        <v>Mr Anand Mehra</v>
      </c>
      <c r="N168" s="15">
        <f t="shared" ca="1" si="12"/>
        <v>46</v>
      </c>
      <c r="O168" s="15" t="str">
        <f t="shared" si="13"/>
        <v>High</v>
      </c>
      <c r="P168" s="15" t="str">
        <f t="shared" si="14"/>
        <v>Parents</v>
      </c>
      <c r="Q168" s="17" cm="1">
        <f t="array" ref="Q168">_xlfn.IFS(J168="Bachelor",1,
J168="Master",2,
J168="PhD",3)</f>
        <v>3</v>
      </c>
    </row>
    <row r="169" spans="1:17" x14ac:dyDescent="0.25">
      <c r="A169" s="14">
        <v>268</v>
      </c>
      <c r="B169" s="15" t="s">
        <v>28</v>
      </c>
      <c r="C169" s="15" t="s">
        <v>274</v>
      </c>
      <c r="D169" s="15" t="s">
        <v>324</v>
      </c>
      <c r="E169" s="16">
        <v>32119</v>
      </c>
      <c r="F169" s="15" t="s">
        <v>21</v>
      </c>
      <c r="G169" s="15" t="s">
        <v>440</v>
      </c>
      <c r="H169" s="15">
        <v>72000</v>
      </c>
      <c r="I169" s="15">
        <v>2</v>
      </c>
      <c r="J169" s="15" t="s">
        <v>23</v>
      </c>
      <c r="K169" s="15" t="s">
        <v>17</v>
      </c>
      <c r="L169" s="15" t="str">
        <f t="shared" si="10"/>
        <v>Married</v>
      </c>
      <c r="M169" s="15" t="str">
        <f t="shared" si="11"/>
        <v>Mrs Priyanka Kapur</v>
      </c>
      <c r="N169" s="15">
        <f t="shared" ca="1" si="12"/>
        <v>38</v>
      </c>
      <c r="O169" s="15" t="str">
        <f t="shared" si="13"/>
        <v>Medium</v>
      </c>
      <c r="P169" s="15" t="str">
        <f t="shared" si="14"/>
        <v>Parents</v>
      </c>
      <c r="Q169" s="17" cm="1">
        <f t="array" ref="Q169">_xlfn.IFS(J169="Bachelor",1,
J169="Master",2,
J169="PhD",3)</f>
        <v>2</v>
      </c>
    </row>
    <row r="170" spans="1:17" x14ac:dyDescent="0.25">
      <c r="A170" s="14">
        <v>269</v>
      </c>
      <c r="B170" s="15" t="s">
        <v>11</v>
      </c>
      <c r="C170" s="15" t="s">
        <v>441</v>
      </c>
      <c r="D170" s="15" t="s">
        <v>329</v>
      </c>
      <c r="E170" s="16">
        <v>30084</v>
      </c>
      <c r="F170" s="15" t="s">
        <v>14</v>
      </c>
      <c r="G170" s="15" t="s">
        <v>442</v>
      </c>
      <c r="H170" s="15">
        <v>87000</v>
      </c>
      <c r="I170" s="15">
        <v>2</v>
      </c>
      <c r="J170" s="15" t="s">
        <v>16</v>
      </c>
      <c r="K170" s="15" t="s">
        <v>17</v>
      </c>
      <c r="L170" s="15" t="str">
        <f t="shared" si="10"/>
        <v>Married</v>
      </c>
      <c r="M170" s="15" t="str">
        <f t="shared" si="11"/>
        <v>Mr Gautam Sood</v>
      </c>
      <c r="N170" s="15">
        <f t="shared" ca="1" si="12"/>
        <v>44</v>
      </c>
      <c r="O170" s="15" t="str">
        <f t="shared" si="13"/>
        <v>High</v>
      </c>
      <c r="P170" s="15" t="str">
        <f t="shared" si="14"/>
        <v>Parents</v>
      </c>
      <c r="Q170" s="17" cm="1">
        <f t="array" ref="Q170">_xlfn.IFS(J170="Bachelor",1,
J170="Master",2,
J170="PhD",3)</f>
        <v>1</v>
      </c>
    </row>
    <row r="171" spans="1:17" x14ac:dyDescent="0.25">
      <c r="A171" s="14">
        <v>270</v>
      </c>
      <c r="B171" s="15" t="s">
        <v>18</v>
      </c>
      <c r="C171" s="15" t="s">
        <v>303</v>
      </c>
      <c r="D171" s="15" t="s">
        <v>263</v>
      </c>
      <c r="E171" s="16">
        <v>34574</v>
      </c>
      <c r="F171" s="15" t="s">
        <v>21</v>
      </c>
      <c r="G171" s="15" t="s">
        <v>443</v>
      </c>
      <c r="H171" s="15">
        <v>60000</v>
      </c>
      <c r="I171" s="15">
        <v>0</v>
      </c>
      <c r="J171" s="15" t="s">
        <v>16</v>
      </c>
      <c r="K171" s="15" t="s">
        <v>24</v>
      </c>
      <c r="L171" s="15" t="str">
        <f t="shared" si="10"/>
        <v>Single</v>
      </c>
      <c r="M171" s="15" t="str">
        <f t="shared" si="11"/>
        <v>Ms Ekta Grover</v>
      </c>
      <c r="N171" s="15">
        <f t="shared" ca="1" si="12"/>
        <v>31</v>
      </c>
      <c r="O171" s="15" t="str">
        <f t="shared" si="13"/>
        <v>Medium</v>
      </c>
      <c r="P171" s="15" t="str">
        <f t="shared" si="14"/>
        <v>Non Parents</v>
      </c>
      <c r="Q171" s="17" cm="1">
        <f t="array" ref="Q171">_xlfn.IFS(J171="Bachelor",1,
J171="Master",2,
J171="PhD",3)</f>
        <v>1</v>
      </c>
    </row>
    <row r="172" spans="1:17" x14ac:dyDescent="0.25">
      <c r="A172" s="14">
        <v>271</v>
      </c>
      <c r="B172" s="15" t="s">
        <v>11</v>
      </c>
      <c r="C172" s="15" t="s">
        <v>200</v>
      </c>
      <c r="D172" s="15" t="s">
        <v>70</v>
      </c>
      <c r="E172" s="16">
        <v>29619</v>
      </c>
      <c r="F172" s="15" t="s">
        <v>14</v>
      </c>
      <c r="G172" s="15" t="s">
        <v>444</v>
      </c>
      <c r="H172" s="15">
        <v>91000</v>
      </c>
      <c r="I172" s="15">
        <v>3</v>
      </c>
      <c r="J172" s="15" t="s">
        <v>23</v>
      </c>
      <c r="K172" s="15" t="s">
        <v>17</v>
      </c>
      <c r="L172" s="15" t="str">
        <f t="shared" si="10"/>
        <v>Married</v>
      </c>
      <c r="M172" s="15" t="str">
        <f t="shared" si="11"/>
        <v>Mr Vivek Chopra</v>
      </c>
      <c r="N172" s="15">
        <f t="shared" ca="1" si="12"/>
        <v>45</v>
      </c>
      <c r="O172" s="15" t="str">
        <f t="shared" si="13"/>
        <v>High</v>
      </c>
      <c r="P172" s="15" t="str">
        <f t="shared" si="14"/>
        <v>Parents</v>
      </c>
      <c r="Q172" s="17" cm="1">
        <f t="array" ref="Q172">_xlfn.IFS(J172="Bachelor",1,
J172="Master",2,
J172="PhD",3)</f>
        <v>2</v>
      </c>
    </row>
    <row r="173" spans="1:17" x14ac:dyDescent="0.25">
      <c r="A173" s="14">
        <v>272</v>
      </c>
      <c r="B173" s="15" t="s">
        <v>28</v>
      </c>
      <c r="C173" s="15" t="s">
        <v>445</v>
      </c>
      <c r="D173" s="15" t="s">
        <v>58</v>
      </c>
      <c r="E173" s="16">
        <v>32435</v>
      </c>
      <c r="F173" s="15" t="s">
        <v>21</v>
      </c>
      <c r="G173" s="15" t="s">
        <v>446</v>
      </c>
      <c r="H173" s="15">
        <v>73000</v>
      </c>
      <c r="I173" s="15">
        <v>1</v>
      </c>
      <c r="J173" s="15" t="s">
        <v>16</v>
      </c>
      <c r="K173" s="15" t="s">
        <v>17</v>
      </c>
      <c r="L173" s="15" t="str">
        <f t="shared" si="10"/>
        <v>Single</v>
      </c>
      <c r="M173" s="15" t="str">
        <f t="shared" si="11"/>
        <v>Mrs Renu Arora</v>
      </c>
      <c r="N173" s="15">
        <f t="shared" ca="1" si="12"/>
        <v>37</v>
      </c>
      <c r="O173" s="15" t="str">
        <f t="shared" si="13"/>
        <v>Medium</v>
      </c>
      <c r="P173" s="15" t="str">
        <f t="shared" si="14"/>
        <v>Non Parents</v>
      </c>
      <c r="Q173" s="17" cm="1">
        <f t="array" ref="Q173">_xlfn.IFS(J173="Bachelor",1,
J173="Master",2,
J173="PhD",3)</f>
        <v>1</v>
      </c>
    </row>
    <row r="174" spans="1:17" x14ac:dyDescent="0.25">
      <c r="A174" s="14">
        <v>273</v>
      </c>
      <c r="B174" s="15" t="s">
        <v>11</v>
      </c>
      <c r="C174" s="15" t="s">
        <v>447</v>
      </c>
      <c r="D174" s="15" t="s">
        <v>233</v>
      </c>
      <c r="E174" s="16">
        <v>30504</v>
      </c>
      <c r="F174" s="15" t="s">
        <v>14</v>
      </c>
      <c r="G174" s="15" t="s">
        <v>448</v>
      </c>
      <c r="H174" s="15">
        <v>85000</v>
      </c>
      <c r="I174" s="15">
        <v>2</v>
      </c>
      <c r="J174" s="15" t="s">
        <v>23</v>
      </c>
      <c r="K174" s="15" t="s">
        <v>17</v>
      </c>
      <c r="L174" s="15" t="str">
        <f t="shared" si="10"/>
        <v>Married</v>
      </c>
      <c r="M174" s="15" t="str">
        <f t="shared" si="11"/>
        <v>Mr Ashok Malik</v>
      </c>
      <c r="N174" s="15">
        <f t="shared" ca="1" si="12"/>
        <v>42</v>
      </c>
      <c r="O174" s="15" t="str">
        <f t="shared" si="13"/>
        <v>High</v>
      </c>
      <c r="P174" s="15" t="str">
        <f t="shared" si="14"/>
        <v>Parents</v>
      </c>
      <c r="Q174" s="17" cm="1">
        <f t="array" ref="Q174">_xlfn.IFS(J174="Bachelor",1,
J174="Master",2,
J174="PhD",3)</f>
        <v>2</v>
      </c>
    </row>
    <row r="175" spans="1:17" x14ac:dyDescent="0.25">
      <c r="A175" s="14">
        <v>274</v>
      </c>
      <c r="B175" s="15" t="s">
        <v>18</v>
      </c>
      <c r="C175" s="15" t="s">
        <v>268</v>
      </c>
      <c r="D175" s="15" t="s">
        <v>339</v>
      </c>
      <c r="E175" s="16">
        <v>33962</v>
      </c>
      <c r="F175" s="15" t="s">
        <v>21</v>
      </c>
      <c r="G175" s="15" t="s">
        <v>449</v>
      </c>
      <c r="H175" s="15">
        <v>61000</v>
      </c>
      <c r="I175" s="15">
        <v>0</v>
      </c>
      <c r="J175" s="15" t="s">
        <v>16</v>
      </c>
      <c r="K175" s="15" t="s">
        <v>24</v>
      </c>
      <c r="L175" s="15" t="str">
        <f t="shared" si="10"/>
        <v>Single</v>
      </c>
      <c r="M175" s="15" t="str">
        <f t="shared" si="11"/>
        <v>Ms Shivani Batra</v>
      </c>
      <c r="N175" s="15">
        <f t="shared" ca="1" si="12"/>
        <v>33</v>
      </c>
      <c r="O175" s="15" t="str">
        <f t="shared" si="13"/>
        <v>Medium</v>
      </c>
      <c r="P175" s="15" t="str">
        <f t="shared" si="14"/>
        <v>Non Parents</v>
      </c>
      <c r="Q175" s="17" cm="1">
        <f t="array" ref="Q175">_xlfn.IFS(J175="Bachelor",1,
J175="Master",2,
J175="PhD",3)</f>
        <v>1</v>
      </c>
    </row>
    <row r="176" spans="1:17" x14ac:dyDescent="0.25">
      <c r="A176" s="14">
        <v>275</v>
      </c>
      <c r="B176" s="15" t="s">
        <v>11</v>
      </c>
      <c r="C176" s="15" t="s">
        <v>57</v>
      </c>
      <c r="D176" s="15" t="s">
        <v>342</v>
      </c>
      <c r="E176" s="16">
        <v>29387</v>
      </c>
      <c r="F176" s="15" t="s">
        <v>14</v>
      </c>
      <c r="G176" s="15" t="s">
        <v>450</v>
      </c>
      <c r="H176" s="15">
        <v>95000</v>
      </c>
      <c r="I176" s="15">
        <v>4</v>
      </c>
      <c r="J176" s="15" t="s">
        <v>35</v>
      </c>
      <c r="K176" s="15" t="s">
        <v>17</v>
      </c>
      <c r="L176" s="15" t="str">
        <f t="shared" si="10"/>
        <v>Married</v>
      </c>
      <c r="M176" s="15" t="str">
        <f t="shared" si="11"/>
        <v>Mr Manish Nagpal</v>
      </c>
      <c r="N176" s="15">
        <f t="shared" ca="1" si="12"/>
        <v>45</v>
      </c>
      <c r="O176" s="15" t="str">
        <f t="shared" si="13"/>
        <v>High</v>
      </c>
      <c r="P176" s="15" t="str">
        <f t="shared" si="14"/>
        <v>Parents</v>
      </c>
      <c r="Q176" s="17" cm="1">
        <f t="array" ref="Q176">_xlfn.IFS(J176="Bachelor",1,
J176="Master",2,
J176="PhD",3)</f>
        <v>3</v>
      </c>
    </row>
    <row r="177" spans="1:17" x14ac:dyDescent="0.25">
      <c r="A177" s="14">
        <v>276</v>
      </c>
      <c r="B177" s="15" t="s">
        <v>28</v>
      </c>
      <c r="C177" s="15" t="s">
        <v>451</v>
      </c>
      <c r="D177" s="15" t="s">
        <v>216</v>
      </c>
      <c r="E177" s="16">
        <v>31840</v>
      </c>
      <c r="F177" s="15" t="s">
        <v>21</v>
      </c>
      <c r="G177" s="15" t="s">
        <v>452</v>
      </c>
      <c r="H177" s="15">
        <v>74000</v>
      </c>
      <c r="I177" s="15">
        <v>2</v>
      </c>
      <c r="J177" s="15" t="s">
        <v>23</v>
      </c>
      <c r="K177" s="15" t="s">
        <v>17</v>
      </c>
      <c r="L177" s="15" t="str">
        <f t="shared" si="10"/>
        <v>Married</v>
      </c>
      <c r="M177" s="15" t="str">
        <f t="shared" si="11"/>
        <v>Mrs Rekha Puri</v>
      </c>
      <c r="N177" s="15">
        <f t="shared" ca="1" si="12"/>
        <v>39</v>
      </c>
      <c r="O177" s="15" t="str">
        <f t="shared" si="13"/>
        <v>Medium</v>
      </c>
      <c r="P177" s="15" t="str">
        <f t="shared" si="14"/>
        <v>Parents</v>
      </c>
      <c r="Q177" s="17" cm="1">
        <f t="array" ref="Q177">_xlfn.IFS(J177="Bachelor",1,
J177="Master",2,
J177="PhD",3)</f>
        <v>2</v>
      </c>
    </row>
    <row r="178" spans="1:17" x14ac:dyDescent="0.25">
      <c r="A178" s="14">
        <v>277</v>
      </c>
      <c r="B178" s="15" t="s">
        <v>11</v>
      </c>
      <c r="C178" s="15" t="s">
        <v>69</v>
      </c>
      <c r="D178" s="15" t="s">
        <v>242</v>
      </c>
      <c r="E178" s="16">
        <v>30934</v>
      </c>
      <c r="F178" s="15" t="s">
        <v>14</v>
      </c>
      <c r="G178" s="15" t="s">
        <v>453</v>
      </c>
      <c r="H178" s="15">
        <v>84000</v>
      </c>
      <c r="I178" s="15">
        <v>2</v>
      </c>
      <c r="J178" s="15" t="s">
        <v>16</v>
      </c>
      <c r="K178" s="15" t="s">
        <v>17</v>
      </c>
      <c r="L178" s="15" t="str">
        <f t="shared" si="10"/>
        <v>Married</v>
      </c>
      <c r="M178" s="15" t="str">
        <f t="shared" si="11"/>
        <v>Mr Nitin Dua</v>
      </c>
      <c r="N178" s="15">
        <f t="shared" ca="1" si="12"/>
        <v>41</v>
      </c>
      <c r="O178" s="15" t="str">
        <f t="shared" si="13"/>
        <v>Medium</v>
      </c>
      <c r="P178" s="15" t="str">
        <f t="shared" si="14"/>
        <v>Parents</v>
      </c>
      <c r="Q178" s="17" cm="1">
        <f t="array" ref="Q178">_xlfn.IFS(J178="Bachelor",1,
J178="Master",2,
J178="PhD",3)</f>
        <v>1</v>
      </c>
    </row>
    <row r="179" spans="1:17" x14ac:dyDescent="0.25">
      <c r="A179" s="14">
        <v>278</v>
      </c>
      <c r="B179" s="15" t="s">
        <v>18</v>
      </c>
      <c r="C179" s="15" t="s">
        <v>90</v>
      </c>
      <c r="D179" s="15" t="s">
        <v>73</v>
      </c>
      <c r="E179" s="16">
        <v>34116</v>
      </c>
      <c r="F179" s="15" t="s">
        <v>21</v>
      </c>
      <c r="G179" s="15" t="s">
        <v>454</v>
      </c>
      <c r="H179" s="15">
        <v>62000</v>
      </c>
      <c r="I179" s="15">
        <v>0</v>
      </c>
      <c r="J179" s="15" t="s">
        <v>16</v>
      </c>
      <c r="K179" s="15" t="s">
        <v>24</v>
      </c>
      <c r="L179" s="15" t="str">
        <f t="shared" si="10"/>
        <v>Single</v>
      </c>
      <c r="M179" s="15" t="str">
        <f t="shared" si="11"/>
        <v>Ms Tanya Sethi</v>
      </c>
      <c r="N179" s="15">
        <f t="shared" ca="1" si="12"/>
        <v>33</v>
      </c>
      <c r="O179" s="15" t="str">
        <f t="shared" si="13"/>
        <v>Medium</v>
      </c>
      <c r="P179" s="15" t="str">
        <f t="shared" si="14"/>
        <v>Non Parents</v>
      </c>
      <c r="Q179" s="17" cm="1">
        <f t="array" ref="Q179">_xlfn.IFS(J179="Bachelor",1,
J179="Master",2,
J179="PhD",3)</f>
        <v>1</v>
      </c>
    </row>
    <row r="180" spans="1:17" x14ac:dyDescent="0.25">
      <c r="A180" s="14">
        <v>279</v>
      </c>
      <c r="B180" s="15" t="s">
        <v>11</v>
      </c>
      <c r="C180" s="15" t="s">
        <v>455</v>
      </c>
      <c r="D180" s="15" t="s">
        <v>76</v>
      </c>
      <c r="E180" s="16">
        <v>29598</v>
      </c>
      <c r="F180" s="15" t="s">
        <v>14</v>
      </c>
      <c r="G180" s="15" t="s">
        <v>456</v>
      </c>
      <c r="H180" s="15">
        <v>89000</v>
      </c>
      <c r="I180" s="15">
        <v>3</v>
      </c>
      <c r="J180" s="15" t="s">
        <v>23</v>
      </c>
      <c r="K180" s="15" t="s">
        <v>17</v>
      </c>
      <c r="L180" s="15" t="str">
        <f t="shared" si="10"/>
        <v>Married</v>
      </c>
      <c r="M180" s="15" t="str">
        <f t="shared" si="11"/>
        <v>Mr Sunny Khanna</v>
      </c>
      <c r="N180" s="15">
        <f t="shared" ca="1" si="12"/>
        <v>45</v>
      </c>
      <c r="O180" s="15" t="str">
        <f t="shared" si="13"/>
        <v>High</v>
      </c>
      <c r="P180" s="15" t="str">
        <f t="shared" si="14"/>
        <v>Parents</v>
      </c>
      <c r="Q180" s="17" cm="1">
        <f t="array" ref="Q180">_xlfn.IFS(J180="Bachelor",1,
J180="Master",2,
J180="PhD",3)</f>
        <v>2</v>
      </c>
    </row>
    <row r="181" spans="1:17" x14ac:dyDescent="0.25">
      <c r="A181" s="14">
        <v>280</v>
      </c>
      <c r="B181" s="15" t="s">
        <v>28</v>
      </c>
      <c r="C181" s="15" t="s">
        <v>29</v>
      </c>
      <c r="D181" s="15" t="s">
        <v>236</v>
      </c>
      <c r="E181" s="16">
        <v>32378</v>
      </c>
      <c r="F181" s="15" t="s">
        <v>21</v>
      </c>
      <c r="G181" s="15" t="s">
        <v>457</v>
      </c>
      <c r="H181" s="15">
        <v>73000</v>
      </c>
      <c r="I181" s="15">
        <v>1</v>
      </c>
      <c r="J181" s="15" t="s">
        <v>16</v>
      </c>
      <c r="K181" s="15" t="s">
        <v>17</v>
      </c>
      <c r="L181" s="15" t="str">
        <f t="shared" si="10"/>
        <v>Single</v>
      </c>
      <c r="M181" s="15" t="str">
        <f t="shared" si="11"/>
        <v>Mrs Neha Chawla</v>
      </c>
      <c r="N181" s="15">
        <f t="shared" ca="1" si="12"/>
        <v>37</v>
      </c>
      <c r="O181" s="15" t="str">
        <f t="shared" si="13"/>
        <v>Medium</v>
      </c>
      <c r="P181" s="15" t="str">
        <f t="shared" si="14"/>
        <v>Non Parents</v>
      </c>
      <c r="Q181" s="17" cm="1">
        <f t="array" ref="Q181">_xlfn.IFS(J181="Bachelor",1,
J181="Master",2,
J181="PhD",3)</f>
        <v>1</v>
      </c>
    </row>
    <row r="182" spans="1:17" x14ac:dyDescent="0.25">
      <c r="A182" s="14">
        <v>281</v>
      </c>
      <c r="B182" s="15" t="s">
        <v>11</v>
      </c>
      <c r="C182" s="15" t="s">
        <v>458</v>
      </c>
      <c r="D182" s="15" t="s">
        <v>210</v>
      </c>
      <c r="E182" s="16">
        <v>30420</v>
      </c>
      <c r="F182" s="15" t="s">
        <v>14</v>
      </c>
      <c r="G182" s="15" t="s">
        <v>459</v>
      </c>
      <c r="H182" s="15">
        <v>82000</v>
      </c>
      <c r="I182" s="15">
        <v>2</v>
      </c>
      <c r="J182" s="15" t="s">
        <v>23</v>
      </c>
      <c r="K182" s="15" t="s">
        <v>17</v>
      </c>
      <c r="L182" s="15" t="str">
        <f t="shared" si="10"/>
        <v>Married</v>
      </c>
      <c r="M182" s="15" t="str">
        <f t="shared" si="11"/>
        <v>Mr Ajit Anand</v>
      </c>
      <c r="N182" s="15">
        <f t="shared" ca="1" si="12"/>
        <v>43</v>
      </c>
      <c r="O182" s="15" t="str">
        <f t="shared" si="13"/>
        <v>Medium</v>
      </c>
      <c r="P182" s="15" t="str">
        <f t="shared" si="14"/>
        <v>Parents</v>
      </c>
      <c r="Q182" s="17" cm="1">
        <f t="array" ref="Q182">_xlfn.IFS(J182="Bachelor",1,
J182="Master",2,
J182="PhD",3)</f>
        <v>2</v>
      </c>
    </row>
    <row r="183" spans="1:17" x14ac:dyDescent="0.25">
      <c r="A183" s="14">
        <v>282</v>
      </c>
      <c r="B183" s="15" t="s">
        <v>18</v>
      </c>
      <c r="C183" s="15" t="s">
        <v>114</v>
      </c>
      <c r="D183" s="15" t="s">
        <v>222</v>
      </c>
      <c r="E183" s="16">
        <v>34643</v>
      </c>
      <c r="F183" s="15" t="s">
        <v>21</v>
      </c>
      <c r="G183" s="15" t="s">
        <v>460</v>
      </c>
      <c r="H183" s="15">
        <v>60000</v>
      </c>
      <c r="I183" s="15">
        <v>0</v>
      </c>
      <c r="J183" s="15" t="s">
        <v>16</v>
      </c>
      <c r="K183" s="15" t="s">
        <v>24</v>
      </c>
      <c r="L183" s="15" t="str">
        <f t="shared" si="10"/>
        <v>Single</v>
      </c>
      <c r="M183" s="15" t="str">
        <f t="shared" si="11"/>
        <v>Ms Komal Luthra</v>
      </c>
      <c r="N183" s="15">
        <f t="shared" ca="1" si="12"/>
        <v>31</v>
      </c>
      <c r="O183" s="15" t="str">
        <f t="shared" si="13"/>
        <v>Medium</v>
      </c>
      <c r="P183" s="15" t="str">
        <f t="shared" si="14"/>
        <v>Non Parents</v>
      </c>
      <c r="Q183" s="17" cm="1">
        <f t="array" ref="Q183">_xlfn.IFS(J183="Bachelor",1,
J183="Master",2,
J183="PhD",3)</f>
        <v>1</v>
      </c>
    </row>
    <row r="184" spans="1:17" x14ac:dyDescent="0.25">
      <c r="A184" s="14">
        <v>283</v>
      </c>
      <c r="B184" s="15" t="s">
        <v>11</v>
      </c>
      <c r="C184" s="15" t="s">
        <v>461</v>
      </c>
      <c r="D184" s="15" t="s">
        <v>284</v>
      </c>
      <c r="E184" s="16">
        <v>29279</v>
      </c>
      <c r="F184" s="15" t="s">
        <v>14</v>
      </c>
      <c r="G184" s="15" t="s">
        <v>462</v>
      </c>
      <c r="H184" s="15">
        <v>92000</v>
      </c>
      <c r="I184" s="15">
        <v>3</v>
      </c>
      <c r="J184" s="15" t="s">
        <v>35</v>
      </c>
      <c r="K184" s="15" t="s">
        <v>17</v>
      </c>
      <c r="L184" s="15" t="str">
        <f t="shared" si="10"/>
        <v>Married</v>
      </c>
      <c r="M184" s="15" t="str">
        <f t="shared" si="11"/>
        <v>Mr Rajeev Kalra</v>
      </c>
      <c r="N184" s="15">
        <f t="shared" ca="1" si="12"/>
        <v>46</v>
      </c>
      <c r="O184" s="15" t="str">
        <f t="shared" si="13"/>
        <v>High</v>
      </c>
      <c r="P184" s="15" t="str">
        <f t="shared" si="14"/>
        <v>Parents</v>
      </c>
      <c r="Q184" s="17" cm="1">
        <f t="array" ref="Q184">_xlfn.IFS(J184="Bachelor",1,
J184="Master",2,
J184="PhD",3)</f>
        <v>3</v>
      </c>
    </row>
    <row r="185" spans="1:17" x14ac:dyDescent="0.25">
      <c r="A185" s="14">
        <v>284</v>
      </c>
      <c r="B185" s="15" t="s">
        <v>28</v>
      </c>
      <c r="C185" s="15" t="s">
        <v>463</v>
      </c>
      <c r="D185" s="15" t="s">
        <v>281</v>
      </c>
      <c r="E185" s="16">
        <v>31975</v>
      </c>
      <c r="F185" s="15" t="s">
        <v>21</v>
      </c>
      <c r="G185" s="15" t="s">
        <v>464</v>
      </c>
      <c r="H185" s="15">
        <v>75000</v>
      </c>
      <c r="I185" s="15">
        <v>2</v>
      </c>
      <c r="J185" s="15" t="s">
        <v>23</v>
      </c>
      <c r="K185" s="15" t="s">
        <v>17</v>
      </c>
      <c r="L185" s="15" t="str">
        <f t="shared" si="10"/>
        <v>Married</v>
      </c>
      <c r="M185" s="15" t="str">
        <f t="shared" si="11"/>
        <v>Mrs Sonali Talwar</v>
      </c>
      <c r="N185" s="15">
        <f t="shared" ca="1" si="12"/>
        <v>38</v>
      </c>
      <c r="O185" s="15" t="str">
        <f t="shared" si="13"/>
        <v>Medium</v>
      </c>
      <c r="P185" s="15" t="str">
        <f t="shared" si="14"/>
        <v>Parents</v>
      </c>
      <c r="Q185" s="17" cm="1">
        <f t="array" ref="Q185">_xlfn.IFS(J185="Bachelor",1,
J185="Master",2,
J185="PhD",3)</f>
        <v>2</v>
      </c>
    </row>
    <row r="186" spans="1:17" x14ac:dyDescent="0.25">
      <c r="A186" s="14">
        <v>285</v>
      </c>
      <c r="B186" s="15" t="s">
        <v>11</v>
      </c>
      <c r="C186" s="15" t="s">
        <v>465</v>
      </c>
      <c r="D186" s="15" t="s">
        <v>266</v>
      </c>
      <c r="E186" s="16">
        <v>30234</v>
      </c>
      <c r="F186" s="15" t="s">
        <v>14</v>
      </c>
      <c r="G186" s="15" t="s">
        <v>466</v>
      </c>
      <c r="H186" s="15">
        <v>86000</v>
      </c>
      <c r="I186" s="15">
        <v>2</v>
      </c>
      <c r="J186" s="15" t="s">
        <v>16</v>
      </c>
      <c r="K186" s="15" t="s">
        <v>17</v>
      </c>
      <c r="L186" s="15" t="str">
        <f t="shared" si="10"/>
        <v>Married</v>
      </c>
      <c r="M186" s="15" t="str">
        <f t="shared" si="11"/>
        <v>Mr Pradeep Wadhwa</v>
      </c>
      <c r="N186" s="15">
        <f t="shared" ca="1" si="12"/>
        <v>43</v>
      </c>
      <c r="O186" s="15" t="str">
        <f t="shared" si="13"/>
        <v>High</v>
      </c>
      <c r="P186" s="15" t="str">
        <f t="shared" si="14"/>
        <v>Parents</v>
      </c>
      <c r="Q186" s="17" cm="1">
        <f t="array" ref="Q186">_xlfn.IFS(J186="Bachelor",1,
J186="Master",2,
J186="PhD",3)</f>
        <v>1</v>
      </c>
    </row>
    <row r="187" spans="1:17" x14ac:dyDescent="0.25">
      <c r="A187" s="14">
        <v>286</v>
      </c>
      <c r="B187" s="15" t="s">
        <v>18</v>
      </c>
      <c r="C187" s="15" t="s">
        <v>467</v>
      </c>
      <c r="D187" s="15" t="s">
        <v>269</v>
      </c>
      <c r="E187" s="16">
        <v>34057</v>
      </c>
      <c r="F187" s="15" t="s">
        <v>21</v>
      </c>
      <c r="G187" s="15" t="s">
        <v>468</v>
      </c>
      <c r="H187" s="15">
        <v>61000</v>
      </c>
      <c r="I187" s="15">
        <v>0</v>
      </c>
      <c r="J187" s="15" t="s">
        <v>16</v>
      </c>
      <c r="K187" s="15" t="s">
        <v>24</v>
      </c>
      <c r="L187" s="15" t="str">
        <f t="shared" si="10"/>
        <v>Single</v>
      </c>
      <c r="M187" s="15" t="str">
        <f t="shared" si="11"/>
        <v>Ms Nisha Saluja</v>
      </c>
      <c r="N187" s="15">
        <f t="shared" ca="1" si="12"/>
        <v>33</v>
      </c>
      <c r="O187" s="15" t="str">
        <f t="shared" si="13"/>
        <v>Medium</v>
      </c>
      <c r="P187" s="15" t="str">
        <f t="shared" si="14"/>
        <v>Non Parents</v>
      </c>
      <c r="Q187" s="17" cm="1">
        <f t="array" ref="Q187">_xlfn.IFS(J187="Bachelor",1,
J187="Master",2,
J187="PhD",3)</f>
        <v>1</v>
      </c>
    </row>
    <row r="188" spans="1:17" x14ac:dyDescent="0.25">
      <c r="A188" s="14">
        <v>287</v>
      </c>
      <c r="B188" s="15" t="s">
        <v>11</v>
      </c>
      <c r="C188" s="15" t="s">
        <v>39</v>
      </c>
      <c r="D188" s="15" t="s">
        <v>272</v>
      </c>
      <c r="E188" s="16">
        <v>29850</v>
      </c>
      <c r="F188" s="15" t="s">
        <v>14</v>
      </c>
      <c r="G188" s="15" t="s">
        <v>469</v>
      </c>
      <c r="H188" s="15">
        <v>90000</v>
      </c>
      <c r="I188" s="15">
        <v>3</v>
      </c>
      <c r="J188" s="15" t="s">
        <v>23</v>
      </c>
      <c r="K188" s="15" t="s">
        <v>17</v>
      </c>
      <c r="L188" s="15" t="str">
        <f t="shared" si="10"/>
        <v>Married</v>
      </c>
      <c r="M188" s="15" t="str">
        <f t="shared" si="11"/>
        <v>Mr Karan Juneja</v>
      </c>
      <c r="N188" s="15">
        <f t="shared" ca="1" si="12"/>
        <v>44</v>
      </c>
      <c r="O188" s="15" t="str">
        <f t="shared" si="13"/>
        <v>High</v>
      </c>
      <c r="P188" s="15" t="str">
        <f t="shared" si="14"/>
        <v>Parents</v>
      </c>
      <c r="Q188" s="17" cm="1">
        <f t="array" ref="Q188">_xlfn.IFS(J188="Bachelor",1,
J188="Master",2,
J188="PhD",3)</f>
        <v>2</v>
      </c>
    </row>
    <row r="189" spans="1:17" x14ac:dyDescent="0.25">
      <c r="A189" s="14">
        <v>288</v>
      </c>
      <c r="B189" s="15" t="s">
        <v>28</v>
      </c>
      <c r="C189" s="15" t="s">
        <v>364</v>
      </c>
      <c r="D189" s="15" t="s">
        <v>275</v>
      </c>
      <c r="E189" s="16">
        <v>32157</v>
      </c>
      <c r="F189" s="15" t="s">
        <v>21</v>
      </c>
      <c r="G189" s="15" t="s">
        <v>470</v>
      </c>
      <c r="H189" s="15">
        <v>73000</v>
      </c>
      <c r="I189" s="15">
        <v>1</v>
      </c>
      <c r="J189" s="15" t="s">
        <v>16</v>
      </c>
      <c r="K189" s="15" t="s">
        <v>17</v>
      </c>
      <c r="L189" s="15" t="str">
        <f t="shared" si="10"/>
        <v>Single</v>
      </c>
      <c r="M189" s="15" t="str">
        <f t="shared" si="11"/>
        <v>Mrs Ritika Ahuja</v>
      </c>
      <c r="N189" s="15">
        <f t="shared" ca="1" si="12"/>
        <v>38</v>
      </c>
      <c r="O189" s="15" t="str">
        <f t="shared" si="13"/>
        <v>Medium</v>
      </c>
      <c r="P189" s="15" t="str">
        <f t="shared" si="14"/>
        <v>Non Parents</v>
      </c>
      <c r="Q189" s="17" cm="1">
        <f t="array" ref="Q189">_xlfn.IFS(J189="Bachelor",1,
J189="Master",2,
J189="PhD",3)</f>
        <v>1</v>
      </c>
    </row>
    <row r="190" spans="1:17" x14ac:dyDescent="0.25">
      <c r="A190" s="14">
        <v>289</v>
      </c>
      <c r="B190" s="15" t="s">
        <v>11</v>
      </c>
      <c r="C190" s="15" t="s">
        <v>471</v>
      </c>
      <c r="D190" s="15" t="s">
        <v>278</v>
      </c>
      <c r="E190" s="16">
        <v>30841</v>
      </c>
      <c r="F190" s="15" t="s">
        <v>14</v>
      </c>
      <c r="G190" s="15" t="s">
        <v>472</v>
      </c>
      <c r="H190" s="15">
        <v>85000</v>
      </c>
      <c r="I190" s="15">
        <v>2</v>
      </c>
      <c r="J190" s="15" t="s">
        <v>23</v>
      </c>
      <c r="K190" s="15" t="s">
        <v>17</v>
      </c>
      <c r="L190" s="15" t="str">
        <f t="shared" si="10"/>
        <v>Married</v>
      </c>
      <c r="M190" s="15" t="str">
        <f t="shared" si="11"/>
        <v>Mr Anup Behl</v>
      </c>
      <c r="N190" s="15">
        <f t="shared" ca="1" si="12"/>
        <v>42</v>
      </c>
      <c r="O190" s="15" t="str">
        <f t="shared" si="13"/>
        <v>High</v>
      </c>
      <c r="P190" s="15" t="str">
        <f t="shared" si="14"/>
        <v>Parents</v>
      </c>
      <c r="Q190" s="17" cm="1">
        <f t="array" ref="Q190">_xlfn.IFS(J190="Bachelor",1,
J190="Master",2,
J190="PhD",3)</f>
        <v>2</v>
      </c>
    </row>
    <row r="191" spans="1:17" x14ac:dyDescent="0.25">
      <c r="A191" s="14">
        <v>290</v>
      </c>
      <c r="B191" s="15" t="s">
        <v>18</v>
      </c>
      <c r="C191" s="15" t="s">
        <v>180</v>
      </c>
      <c r="D191" s="15" t="s">
        <v>287</v>
      </c>
      <c r="E191" s="16">
        <v>33907</v>
      </c>
      <c r="F191" s="15" t="s">
        <v>21</v>
      </c>
      <c r="G191" s="15" t="s">
        <v>473</v>
      </c>
      <c r="H191" s="15">
        <v>62000</v>
      </c>
      <c r="I191" s="15">
        <v>0</v>
      </c>
      <c r="J191" s="15" t="s">
        <v>16</v>
      </c>
      <c r="K191" s="15" t="s">
        <v>24</v>
      </c>
      <c r="L191" s="15" t="str">
        <f t="shared" si="10"/>
        <v>Single</v>
      </c>
      <c r="M191" s="15" t="str">
        <f t="shared" si="11"/>
        <v>Ms Preeti Rishi</v>
      </c>
      <c r="N191" s="15">
        <f t="shared" ca="1" si="12"/>
        <v>33</v>
      </c>
      <c r="O191" s="15" t="str">
        <f t="shared" si="13"/>
        <v>Medium</v>
      </c>
      <c r="P191" s="15" t="str">
        <f t="shared" si="14"/>
        <v>Non Parents</v>
      </c>
      <c r="Q191" s="17" cm="1">
        <f t="array" ref="Q191">_xlfn.IFS(J191="Bachelor",1,
J191="Master",2,
J191="PhD",3)</f>
        <v>1</v>
      </c>
    </row>
    <row r="192" spans="1:17" x14ac:dyDescent="0.25">
      <c r="A192" s="14">
        <v>291</v>
      </c>
      <c r="B192" s="15" t="s">
        <v>11</v>
      </c>
      <c r="C192" s="15" t="s">
        <v>474</v>
      </c>
      <c r="D192" s="15" t="s">
        <v>290</v>
      </c>
      <c r="E192" s="16">
        <v>29298</v>
      </c>
      <c r="F192" s="15" t="s">
        <v>14</v>
      </c>
      <c r="G192" s="15" t="s">
        <v>475</v>
      </c>
      <c r="H192" s="15">
        <v>94000</v>
      </c>
      <c r="I192" s="15">
        <v>4</v>
      </c>
      <c r="J192" s="15" t="s">
        <v>35</v>
      </c>
      <c r="K192" s="15" t="s">
        <v>17</v>
      </c>
      <c r="L192" s="15" t="str">
        <f t="shared" si="10"/>
        <v>Married</v>
      </c>
      <c r="M192" s="15" t="str">
        <f t="shared" si="11"/>
        <v>Mr Shashank Pahwa</v>
      </c>
      <c r="N192" s="15">
        <f t="shared" ca="1" si="12"/>
        <v>46</v>
      </c>
      <c r="O192" s="15" t="str">
        <f t="shared" si="13"/>
        <v>High</v>
      </c>
      <c r="P192" s="15" t="str">
        <f t="shared" si="14"/>
        <v>Parents</v>
      </c>
      <c r="Q192" s="17" cm="1">
        <f t="array" ref="Q192">_xlfn.IFS(J192="Bachelor",1,
J192="Master",2,
J192="PhD",3)</f>
        <v>3</v>
      </c>
    </row>
    <row r="193" spans="1:17" x14ac:dyDescent="0.25">
      <c r="A193" s="14">
        <v>292</v>
      </c>
      <c r="B193" s="15" t="s">
        <v>28</v>
      </c>
      <c r="C193" s="15" t="s">
        <v>476</v>
      </c>
      <c r="D193" s="15" t="s">
        <v>293</v>
      </c>
      <c r="E193" s="16">
        <v>32090</v>
      </c>
      <c r="F193" s="15" t="s">
        <v>21</v>
      </c>
      <c r="G193" s="15" t="s">
        <v>477</v>
      </c>
      <c r="H193" s="15">
        <v>72000</v>
      </c>
      <c r="I193" s="15">
        <v>2</v>
      </c>
      <c r="J193" s="15" t="s">
        <v>23</v>
      </c>
      <c r="K193" s="15" t="s">
        <v>17</v>
      </c>
      <c r="L193" s="15" t="str">
        <f t="shared" si="10"/>
        <v>Married</v>
      </c>
      <c r="M193" s="15" t="str">
        <f t="shared" si="11"/>
        <v>Mrs Poonam Dang</v>
      </c>
      <c r="N193" s="15">
        <f t="shared" ca="1" si="12"/>
        <v>38</v>
      </c>
      <c r="O193" s="15" t="str">
        <f t="shared" si="13"/>
        <v>Medium</v>
      </c>
      <c r="P193" s="15" t="str">
        <f t="shared" si="14"/>
        <v>Parents</v>
      </c>
      <c r="Q193" s="17" cm="1">
        <f t="array" ref="Q193">_xlfn.IFS(J193="Bachelor",1,
J193="Master",2,
J193="PhD",3)</f>
        <v>2</v>
      </c>
    </row>
    <row r="194" spans="1:17" x14ac:dyDescent="0.25">
      <c r="A194" s="14">
        <v>293</v>
      </c>
      <c r="B194" s="15" t="s">
        <v>11</v>
      </c>
      <c r="C194" s="15" t="s">
        <v>478</v>
      </c>
      <c r="D194" s="15" t="s">
        <v>296</v>
      </c>
      <c r="E194" s="16">
        <v>30189</v>
      </c>
      <c r="F194" s="15" t="s">
        <v>14</v>
      </c>
      <c r="G194" s="15" t="s">
        <v>479</v>
      </c>
      <c r="H194" s="15">
        <v>83000</v>
      </c>
      <c r="I194" s="15">
        <v>2</v>
      </c>
      <c r="J194" s="15" t="s">
        <v>16</v>
      </c>
      <c r="K194" s="15" t="s">
        <v>17</v>
      </c>
      <c r="L194" s="15" t="str">
        <f t="shared" si="10"/>
        <v>Married</v>
      </c>
      <c r="M194" s="15" t="str">
        <f t="shared" si="11"/>
        <v>Mr Ayush Sehgal</v>
      </c>
      <c r="N194" s="15">
        <f t="shared" ca="1" si="12"/>
        <v>43</v>
      </c>
      <c r="O194" s="15" t="str">
        <f t="shared" si="13"/>
        <v>Medium</v>
      </c>
      <c r="P194" s="15" t="str">
        <f t="shared" si="14"/>
        <v>Parents</v>
      </c>
      <c r="Q194" s="17" cm="1">
        <f t="array" ref="Q194">_xlfn.IFS(J194="Bachelor",1,
J194="Master",2,
J194="PhD",3)</f>
        <v>1</v>
      </c>
    </row>
    <row r="195" spans="1:17" x14ac:dyDescent="0.25">
      <c r="A195" s="14">
        <v>294</v>
      </c>
      <c r="B195" s="15" t="s">
        <v>18</v>
      </c>
      <c r="C195" s="15" t="s">
        <v>480</v>
      </c>
      <c r="D195" s="15" t="s">
        <v>304</v>
      </c>
      <c r="E195" s="16">
        <v>34431</v>
      </c>
      <c r="F195" s="15" t="s">
        <v>21</v>
      </c>
      <c r="G195" s="15" t="s">
        <v>481</v>
      </c>
      <c r="H195" s="15">
        <v>60000</v>
      </c>
      <c r="I195" s="15">
        <v>0</v>
      </c>
      <c r="J195" s="15" t="s">
        <v>16</v>
      </c>
      <c r="K195" s="15" t="s">
        <v>24</v>
      </c>
      <c r="L195" s="15" t="str">
        <f t="shared" ref="L195:L201" si="15">IF(I195&gt;1,"Married","Single")</f>
        <v>Single</v>
      </c>
      <c r="M195" s="15" t="str">
        <f t="shared" ref="M195:M201" si="16">CONCATENATE(B195," ", C195," ", D195)</f>
        <v>Ms Rhea Bajaj</v>
      </c>
      <c r="N195" s="15">
        <f t="shared" ref="N195:N201" ca="1" si="17">DATEDIF(E195,TODAY(),"Y")</f>
        <v>32</v>
      </c>
      <c r="O195" s="15" t="str">
        <f t="shared" ref="O195:O201" si="18">IF(H195&lt;60000,"Low",IF(H195&lt;85000,"Medium","High"))</f>
        <v>Medium</v>
      </c>
      <c r="P195" s="15" t="str">
        <f t="shared" ref="P195:P201" si="19">IF(I195&gt;1,"Parents","Non Parents")</f>
        <v>Non Parents</v>
      </c>
      <c r="Q195" s="17" cm="1">
        <f t="array" ref="Q195">_xlfn.IFS(J195="Bachelor",1,
J195="Master",2,
J195="PhD",3)</f>
        <v>1</v>
      </c>
    </row>
    <row r="196" spans="1:17" x14ac:dyDescent="0.25">
      <c r="A196" s="14">
        <v>295</v>
      </c>
      <c r="B196" s="15" t="s">
        <v>11</v>
      </c>
      <c r="C196" s="15" t="s">
        <v>482</v>
      </c>
      <c r="D196" s="15" t="s">
        <v>307</v>
      </c>
      <c r="E196" s="16">
        <v>29932</v>
      </c>
      <c r="F196" s="15" t="s">
        <v>14</v>
      </c>
      <c r="G196" s="15" t="s">
        <v>483</v>
      </c>
      <c r="H196" s="15">
        <v>91000</v>
      </c>
      <c r="I196" s="15">
        <v>3</v>
      </c>
      <c r="J196" s="15" t="s">
        <v>23</v>
      </c>
      <c r="K196" s="15" t="s">
        <v>17</v>
      </c>
      <c r="L196" s="15" t="str">
        <f t="shared" si="15"/>
        <v>Married</v>
      </c>
      <c r="M196" s="15" t="str">
        <f t="shared" si="16"/>
        <v>Mr Raghav Chadha</v>
      </c>
      <c r="N196" s="15">
        <f t="shared" ca="1" si="17"/>
        <v>44</v>
      </c>
      <c r="O196" s="15" t="str">
        <f t="shared" si="18"/>
        <v>High</v>
      </c>
      <c r="P196" s="15" t="str">
        <f t="shared" si="19"/>
        <v>Parents</v>
      </c>
      <c r="Q196" s="17" cm="1">
        <f t="array" ref="Q196">_xlfn.IFS(J196="Bachelor",1,
J196="Master",2,
J196="PhD",3)</f>
        <v>2</v>
      </c>
    </row>
    <row r="197" spans="1:17" x14ac:dyDescent="0.25">
      <c r="A197" s="14">
        <v>296</v>
      </c>
      <c r="B197" s="15" t="s">
        <v>28</v>
      </c>
      <c r="C197" s="15" t="s">
        <v>484</v>
      </c>
      <c r="D197" s="15" t="s">
        <v>310</v>
      </c>
      <c r="E197" s="16">
        <v>32285</v>
      </c>
      <c r="F197" s="15" t="s">
        <v>21</v>
      </c>
      <c r="G197" s="15" t="s">
        <v>485</v>
      </c>
      <c r="H197" s="15">
        <v>74000</v>
      </c>
      <c r="I197" s="15">
        <v>1</v>
      </c>
      <c r="J197" s="15" t="s">
        <v>16</v>
      </c>
      <c r="K197" s="15" t="s">
        <v>17</v>
      </c>
      <c r="L197" s="15" t="str">
        <f t="shared" si="15"/>
        <v>Single</v>
      </c>
      <c r="M197" s="15" t="str">
        <f t="shared" si="16"/>
        <v>Mrs Mehak Madan</v>
      </c>
      <c r="N197" s="15">
        <f t="shared" ca="1" si="17"/>
        <v>38</v>
      </c>
      <c r="O197" s="15" t="str">
        <f t="shared" si="18"/>
        <v>Medium</v>
      </c>
      <c r="P197" s="15" t="str">
        <f t="shared" si="19"/>
        <v>Non Parents</v>
      </c>
      <c r="Q197" s="17" cm="1">
        <f t="array" ref="Q197">_xlfn.IFS(J197="Bachelor",1,
J197="Master",2,
J197="PhD",3)</f>
        <v>1</v>
      </c>
    </row>
    <row r="198" spans="1:17" x14ac:dyDescent="0.25">
      <c r="A198" s="14">
        <v>297</v>
      </c>
      <c r="B198" s="15" t="s">
        <v>11</v>
      </c>
      <c r="C198" s="15" t="s">
        <v>486</v>
      </c>
      <c r="D198" s="15" t="s">
        <v>313</v>
      </c>
      <c r="E198" s="16">
        <v>30358</v>
      </c>
      <c r="F198" s="15" t="s">
        <v>14</v>
      </c>
      <c r="G198" s="15" t="s">
        <v>487</v>
      </c>
      <c r="H198" s="15">
        <v>85000</v>
      </c>
      <c r="I198" s="15">
        <v>2</v>
      </c>
      <c r="J198" s="15" t="s">
        <v>23</v>
      </c>
      <c r="K198" s="15" t="s">
        <v>17</v>
      </c>
      <c r="L198" s="15" t="str">
        <f t="shared" si="15"/>
        <v>Married</v>
      </c>
      <c r="M198" s="15" t="str">
        <f t="shared" si="16"/>
        <v>Mr Devendra Sarin</v>
      </c>
      <c r="N198" s="15">
        <f t="shared" ca="1" si="17"/>
        <v>43</v>
      </c>
      <c r="O198" s="15" t="str">
        <f t="shared" si="18"/>
        <v>High</v>
      </c>
      <c r="P198" s="15" t="str">
        <f t="shared" si="19"/>
        <v>Parents</v>
      </c>
      <c r="Q198" s="17" cm="1">
        <f t="array" ref="Q198">_xlfn.IFS(J198="Bachelor",1,
J198="Master",2,
J198="PhD",3)</f>
        <v>2</v>
      </c>
    </row>
    <row r="199" spans="1:17" x14ac:dyDescent="0.25">
      <c r="A199" s="14">
        <v>298</v>
      </c>
      <c r="B199" s="15" t="s">
        <v>18</v>
      </c>
      <c r="C199" s="15" t="s">
        <v>488</v>
      </c>
      <c r="D199" s="15" t="s">
        <v>318</v>
      </c>
      <c r="E199" s="16">
        <v>34175</v>
      </c>
      <c r="F199" s="15" t="s">
        <v>21</v>
      </c>
      <c r="G199" s="15" t="s">
        <v>489</v>
      </c>
      <c r="H199" s="15">
        <v>61000</v>
      </c>
      <c r="I199" s="15">
        <v>0</v>
      </c>
      <c r="J199" s="15" t="s">
        <v>16</v>
      </c>
      <c r="K199" s="15" t="s">
        <v>24</v>
      </c>
      <c r="L199" s="15" t="str">
        <f t="shared" si="15"/>
        <v>Single</v>
      </c>
      <c r="M199" s="15" t="str">
        <f t="shared" si="16"/>
        <v>Ms Anvi Bhalla</v>
      </c>
      <c r="N199" s="15">
        <f t="shared" ca="1" si="17"/>
        <v>32</v>
      </c>
      <c r="O199" s="15" t="str">
        <f t="shared" si="18"/>
        <v>Medium</v>
      </c>
      <c r="P199" s="15" t="str">
        <f t="shared" si="19"/>
        <v>Non Parents</v>
      </c>
      <c r="Q199" s="17" cm="1">
        <f t="array" ref="Q199">_xlfn.IFS(J199="Bachelor",1,
J199="Master",2,
J199="PhD",3)</f>
        <v>1</v>
      </c>
    </row>
    <row r="200" spans="1:17" x14ac:dyDescent="0.25">
      <c r="A200" s="14">
        <v>299</v>
      </c>
      <c r="B200" s="15" t="s">
        <v>11</v>
      </c>
      <c r="C200" s="15" t="s">
        <v>490</v>
      </c>
      <c r="D200" s="15" t="s">
        <v>321</v>
      </c>
      <c r="E200" s="16">
        <v>29497</v>
      </c>
      <c r="F200" s="15" t="s">
        <v>14</v>
      </c>
      <c r="G200" s="15" t="s">
        <v>491</v>
      </c>
      <c r="H200" s="15">
        <v>93000</v>
      </c>
      <c r="I200" s="15">
        <v>4</v>
      </c>
      <c r="J200" s="15" t="s">
        <v>35</v>
      </c>
      <c r="K200" s="15" t="s">
        <v>17</v>
      </c>
      <c r="L200" s="15" t="str">
        <f t="shared" si="15"/>
        <v>Married</v>
      </c>
      <c r="M200" s="15" t="str">
        <f t="shared" si="16"/>
        <v>Mr Lokendra Mehra</v>
      </c>
      <c r="N200" s="15">
        <f t="shared" ca="1" si="17"/>
        <v>45</v>
      </c>
      <c r="O200" s="15" t="str">
        <f t="shared" si="18"/>
        <v>High</v>
      </c>
      <c r="P200" s="15" t="str">
        <f t="shared" si="19"/>
        <v>Parents</v>
      </c>
      <c r="Q200" s="17" cm="1">
        <f t="array" ref="Q200">_xlfn.IFS(J200="Bachelor",1,
J200="Master",2,
J200="PhD",3)</f>
        <v>3</v>
      </c>
    </row>
    <row r="201" spans="1:17" x14ac:dyDescent="0.25">
      <c r="A201" s="18">
        <v>300</v>
      </c>
      <c r="B201" s="19" t="s">
        <v>28</v>
      </c>
      <c r="C201" s="19" t="s">
        <v>492</v>
      </c>
      <c r="D201" s="19" t="s">
        <v>324</v>
      </c>
      <c r="E201" s="20">
        <v>32034</v>
      </c>
      <c r="F201" s="19" t="s">
        <v>21</v>
      </c>
      <c r="G201" s="19" t="s">
        <v>493</v>
      </c>
      <c r="H201" s="19">
        <v>73000</v>
      </c>
      <c r="I201" s="19">
        <v>2</v>
      </c>
      <c r="J201" s="19" t="s">
        <v>23</v>
      </c>
      <c r="K201" s="19" t="s">
        <v>17</v>
      </c>
      <c r="L201" s="19" t="str">
        <f t="shared" si="15"/>
        <v>Married</v>
      </c>
      <c r="M201" s="19" t="str">
        <f t="shared" si="16"/>
        <v>Mrs Sakina Kapur</v>
      </c>
      <c r="N201" s="19">
        <f t="shared" ca="1" si="17"/>
        <v>38</v>
      </c>
      <c r="O201" s="19" t="str">
        <f t="shared" si="18"/>
        <v>Medium</v>
      </c>
      <c r="P201" s="19" t="str">
        <f t="shared" si="19"/>
        <v>Parents</v>
      </c>
      <c r="Q201" s="21" cm="1">
        <f t="array" ref="Q201">_xlfn.IFS(J201="Bachelor",1,
J201="Master",2,
J201="PhD",3)</f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B259-BE93-4A73-83DA-381D68169A6C}">
  <dimension ref="A1:B27"/>
  <sheetViews>
    <sheetView workbookViewId="0">
      <selection activeCell="I4" sqref="I4"/>
    </sheetView>
  </sheetViews>
  <sheetFormatPr defaultRowHeight="15" x14ac:dyDescent="0.25"/>
  <cols>
    <col min="1" max="1" width="17" bestFit="1" customWidth="1"/>
    <col min="2" max="2" width="18.28515625" bestFit="1" customWidth="1"/>
  </cols>
  <sheetData>
    <row r="1" spans="1:2" x14ac:dyDescent="0.25">
      <c r="A1" s="7" t="s">
        <v>9</v>
      </c>
      <c r="B1" t="s">
        <v>511</v>
      </c>
    </row>
    <row r="2" spans="1:2" x14ac:dyDescent="0.25">
      <c r="A2" s="8" t="s">
        <v>16</v>
      </c>
      <c r="B2" s="10">
        <v>70489.795918367352</v>
      </c>
    </row>
    <row r="3" spans="1:2" x14ac:dyDescent="0.25">
      <c r="A3" s="8" t="s">
        <v>23</v>
      </c>
      <c r="B3" s="10">
        <v>81871.794871794875</v>
      </c>
    </row>
    <row r="4" spans="1:2" x14ac:dyDescent="0.25">
      <c r="A4" s="8" t="s">
        <v>35</v>
      </c>
      <c r="B4" s="10">
        <v>93250</v>
      </c>
    </row>
    <row r="7" spans="1:2" x14ac:dyDescent="0.25">
      <c r="A7" s="7" t="s">
        <v>5</v>
      </c>
      <c r="B7" t="s">
        <v>507</v>
      </c>
    </row>
    <row r="8" spans="1:2" x14ac:dyDescent="0.25">
      <c r="A8" s="8" t="s">
        <v>21</v>
      </c>
      <c r="B8" s="9">
        <v>67060</v>
      </c>
    </row>
    <row r="9" spans="1:2" x14ac:dyDescent="0.25">
      <c r="A9" s="8" t="s">
        <v>14</v>
      </c>
      <c r="B9" s="9">
        <v>88260</v>
      </c>
    </row>
    <row r="12" spans="1:2" x14ac:dyDescent="0.25">
      <c r="A12" s="7" t="s">
        <v>497</v>
      </c>
      <c r="B12" t="s">
        <v>508</v>
      </c>
    </row>
    <row r="13" spans="1:2" x14ac:dyDescent="0.25">
      <c r="A13" s="8" t="s">
        <v>504</v>
      </c>
      <c r="B13" s="9">
        <v>76</v>
      </c>
    </row>
    <row r="14" spans="1:2" x14ac:dyDescent="0.25">
      <c r="A14" s="8" t="s">
        <v>505</v>
      </c>
      <c r="B14" s="9">
        <v>7</v>
      </c>
    </row>
    <row r="15" spans="1:2" x14ac:dyDescent="0.25">
      <c r="A15" s="8" t="s">
        <v>506</v>
      </c>
      <c r="B15" s="9">
        <v>117</v>
      </c>
    </row>
    <row r="19" spans="1:2" x14ac:dyDescent="0.25">
      <c r="A19" s="7" t="s">
        <v>10</v>
      </c>
      <c r="B19" t="s">
        <v>511</v>
      </c>
    </row>
    <row r="20" spans="1:2" x14ac:dyDescent="0.25">
      <c r="A20" s="8" t="s">
        <v>24</v>
      </c>
      <c r="B20" s="9">
        <v>60800</v>
      </c>
    </row>
    <row r="21" spans="1:2" x14ac:dyDescent="0.25">
      <c r="A21" s="8" t="s">
        <v>17</v>
      </c>
      <c r="B21" s="9">
        <v>83280</v>
      </c>
    </row>
    <row r="24" spans="1:2" x14ac:dyDescent="0.25">
      <c r="A24" s="7" t="s">
        <v>494</v>
      </c>
      <c r="B24" t="s">
        <v>503</v>
      </c>
    </row>
    <row r="25" spans="1:2" x14ac:dyDescent="0.25">
      <c r="A25" s="8" t="s">
        <v>509</v>
      </c>
      <c r="B25" s="9">
        <v>85743.801652892565</v>
      </c>
    </row>
    <row r="26" spans="1:2" x14ac:dyDescent="0.25">
      <c r="A26" s="8" t="s">
        <v>510</v>
      </c>
      <c r="B26" s="9">
        <v>65278.481012658231</v>
      </c>
    </row>
    <row r="27" spans="1:2" x14ac:dyDescent="0.25">
      <c r="A27" s="8" t="s">
        <v>502</v>
      </c>
      <c r="B27" s="9">
        <v>77660</v>
      </c>
    </row>
  </sheetData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FF4D-541C-4C2C-9C83-B267F5200E28}">
  <dimension ref="A1:X2"/>
  <sheetViews>
    <sheetView zoomScale="80" zoomScaleNormal="80" workbookViewId="0">
      <selection activeCell="O21" sqref="O21"/>
    </sheetView>
  </sheetViews>
  <sheetFormatPr defaultRowHeight="15" x14ac:dyDescent="0.25"/>
  <cols>
    <col min="1" max="1" width="13.140625" bestFit="1" customWidth="1"/>
    <col min="2" max="2" width="11" customWidth="1"/>
    <col min="8" max="9" width="13.140625" bestFit="1" customWidth="1"/>
    <col min="10" max="10" width="24.7109375" bestFit="1" customWidth="1"/>
    <col min="11" max="11" width="9.42578125" bestFit="1" customWidth="1"/>
    <col min="12" max="14" width="13.140625" bestFit="1" customWidth="1"/>
    <col min="15" max="15" width="24.7109375" bestFit="1" customWidth="1"/>
    <col min="16" max="16" width="13.140625" bestFit="1" customWidth="1"/>
    <col min="17" max="17" width="10.85546875" bestFit="1" customWidth="1"/>
  </cols>
  <sheetData>
    <row r="1" spans="1:24" x14ac:dyDescent="0.25">
      <c r="A1" s="1" t="s">
        <v>500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</sheetData>
  <mergeCells count="2">
    <mergeCell ref="A1:L2"/>
    <mergeCell ref="M1:X2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7637-8C36-4170-B95F-31652A11F351}">
  <dimension ref="A1:Y2"/>
  <sheetViews>
    <sheetView workbookViewId="0">
      <selection activeCell="N13" sqref="N13"/>
    </sheetView>
  </sheetViews>
  <sheetFormatPr defaultRowHeight="15" x14ac:dyDescent="0.25"/>
  <cols>
    <col min="9" max="10" width="13.140625" bestFit="1" customWidth="1"/>
    <col min="11" max="11" width="10.85546875" bestFit="1" customWidth="1"/>
    <col min="12" max="12" width="21.42578125" bestFit="1" customWidth="1"/>
    <col min="13" max="208" width="16.28515625" bestFit="1" customWidth="1"/>
    <col min="209" max="210" width="11.28515625" bestFit="1" customWidth="1"/>
    <col min="211" max="211" width="7.5703125" bestFit="1" customWidth="1"/>
    <col min="212" max="212" width="8.85546875" bestFit="1" customWidth="1"/>
    <col min="213" max="213" width="5.85546875" bestFit="1" customWidth="1"/>
    <col min="214" max="214" width="8.85546875" bestFit="1" customWidth="1"/>
    <col min="215" max="215" width="7.5703125" bestFit="1" customWidth="1"/>
    <col min="216" max="216" width="8.85546875" bestFit="1" customWidth="1"/>
    <col min="217" max="217" width="5.85546875" bestFit="1" customWidth="1"/>
    <col min="218" max="218" width="8.85546875" bestFit="1" customWidth="1"/>
    <col min="219" max="219" width="7.5703125" bestFit="1" customWidth="1"/>
    <col min="220" max="220" width="8.85546875" bestFit="1" customWidth="1"/>
    <col min="221" max="221" width="5.85546875" bestFit="1" customWidth="1"/>
    <col min="222" max="222" width="8.85546875" bestFit="1" customWidth="1"/>
    <col min="223" max="223" width="7.5703125" bestFit="1" customWidth="1"/>
    <col min="224" max="224" width="8.85546875" bestFit="1" customWidth="1"/>
    <col min="225" max="225" width="5.85546875" bestFit="1" customWidth="1"/>
    <col min="226" max="226" width="8.85546875" bestFit="1" customWidth="1"/>
    <col min="227" max="227" width="7.5703125" bestFit="1" customWidth="1"/>
    <col min="228" max="228" width="8.85546875" bestFit="1" customWidth="1"/>
    <col min="229" max="229" width="5.85546875" bestFit="1" customWidth="1"/>
    <col min="230" max="230" width="8.85546875" bestFit="1" customWidth="1"/>
    <col min="231" max="231" width="7.5703125" bestFit="1" customWidth="1"/>
    <col min="232" max="232" width="8.85546875" bestFit="1" customWidth="1"/>
    <col min="233" max="233" width="5.85546875" bestFit="1" customWidth="1"/>
    <col min="234" max="234" width="8.85546875" bestFit="1" customWidth="1"/>
    <col min="235" max="235" width="7.5703125" bestFit="1" customWidth="1"/>
    <col min="236" max="236" width="8.85546875" bestFit="1" customWidth="1"/>
    <col min="237" max="237" width="5.85546875" bestFit="1" customWidth="1"/>
    <col min="238" max="238" width="8.85546875" bestFit="1" customWidth="1"/>
    <col min="239" max="239" width="7.5703125" bestFit="1" customWidth="1"/>
    <col min="240" max="240" width="8.85546875" bestFit="1" customWidth="1"/>
    <col min="241" max="241" width="5.85546875" bestFit="1" customWidth="1"/>
    <col min="242" max="242" width="8.85546875" bestFit="1" customWidth="1"/>
    <col min="243" max="243" width="7.5703125" bestFit="1" customWidth="1"/>
    <col min="244" max="244" width="8.85546875" bestFit="1" customWidth="1"/>
    <col min="245" max="245" width="5.85546875" bestFit="1" customWidth="1"/>
    <col min="246" max="246" width="8.85546875" bestFit="1" customWidth="1"/>
    <col min="247" max="247" width="7.5703125" bestFit="1" customWidth="1"/>
    <col min="248" max="248" width="8.85546875" bestFit="1" customWidth="1"/>
    <col min="249" max="249" width="5.85546875" bestFit="1" customWidth="1"/>
    <col min="250" max="250" width="8.85546875" bestFit="1" customWidth="1"/>
    <col min="251" max="251" width="7.5703125" bestFit="1" customWidth="1"/>
    <col min="252" max="252" width="8.85546875" bestFit="1" customWidth="1"/>
    <col min="253" max="253" width="5.85546875" bestFit="1" customWidth="1"/>
    <col min="254" max="254" width="8.85546875" bestFit="1" customWidth="1"/>
    <col min="255" max="255" width="7.5703125" bestFit="1" customWidth="1"/>
    <col min="256" max="256" width="8.85546875" bestFit="1" customWidth="1"/>
    <col min="257" max="257" width="5.85546875" bestFit="1" customWidth="1"/>
    <col min="258" max="258" width="8.85546875" bestFit="1" customWidth="1"/>
    <col min="259" max="259" width="7.5703125" bestFit="1" customWidth="1"/>
    <col min="260" max="260" width="8.85546875" bestFit="1" customWidth="1"/>
    <col min="261" max="261" width="5.85546875" bestFit="1" customWidth="1"/>
    <col min="262" max="262" width="8.85546875" bestFit="1" customWidth="1"/>
    <col min="263" max="263" width="7.5703125" bestFit="1" customWidth="1"/>
    <col min="264" max="264" width="8.85546875" bestFit="1" customWidth="1"/>
    <col min="265" max="265" width="5.85546875" bestFit="1" customWidth="1"/>
    <col min="266" max="266" width="8.85546875" bestFit="1" customWidth="1"/>
    <col min="267" max="267" width="7.5703125" bestFit="1" customWidth="1"/>
    <col min="268" max="268" width="8.85546875" bestFit="1" customWidth="1"/>
    <col min="269" max="269" width="5.85546875" bestFit="1" customWidth="1"/>
    <col min="270" max="270" width="8.85546875" bestFit="1" customWidth="1"/>
    <col min="271" max="271" width="7.5703125" bestFit="1" customWidth="1"/>
    <col min="272" max="272" width="8.85546875" bestFit="1" customWidth="1"/>
    <col min="273" max="273" width="5.85546875" bestFit="1" customWidth="1"/>
    <col min="274" max="274" width="8.85546875" bestFit="1" customWidth="1"/>
    <col min="275" max="275" width="7.5703125" bestFit="1" customWidth="1"/>
    <col min="276" max="276" width="8.85546875" bestFit="1" customWidth="1"/>
    <col min="277" max="277" width="5.85546875" bestFit="1" customWidth="1"/>
    <col min="278" max="278" width="8.85546875" bestFit="1" customWidth="1"/>
    <col min="279" max="279" width="7.5703125" bestFit="1" customWidth="1"/>
    <col min="280" max="280" width="8.85546875" bestFit="1" customWidth="1"/>
    <col min="281" max="281" width="5.85546875" bestFit="1" customWidth="1"/>
    <col min="282" max="282" width="8.85546875" bestFit="1" customWidth="1"/>
    <col min="283" max="283" width="7.5703125" bestFit="1" customWidth="1"/>
    <col min="284" max="284" width="8.85546875" bestFit="1" customWidth="1"/>
    <col min="285" max="285" width="5.85546875" bestFit="1" customWidth="1"/>
    <col min="286" max="286" width="8.85546875" bestFit="1" customWidth="1"/>
    <col min="287" max="287" width="7.5703125" bestFit="1" customWidth="1"/>
    <col min="288" max="288" width="8.85546875" bestFit="1" customWidth="1"/>
    <col min="289" max="289" width="5.85546875" bestFit="1" customWidth="1"/>
    <col min="290" max="290" width="8.85546875" bestFit="1" customWidth="1"/>
    <col min="291" max="291" width="7.5703125" bestFit="1" customWidth="1"/>
    <col min="292" max="292" width="8.85546875" bestFit="1" customWidth="1"/>
    <col min="293" max="293" width="5.85546875" bestFit="1" customWidth="1"/>
    <col min="294" max="294" width="8.85546875" bestFit="1" customWidth="1"/>
    <col min="295" max="295" width="7.5703125" bestFit="1" customWidth="1"/>
    <col min="296" max="296" width="8.85546875" bestFit="1" customWidth="1"/>
    <col min="297" max="297" width="5.85546875" bestFit="1" customWidth="1"/>
    <col min="298" max="298" width="8.85546875" bestFit="1" customWidth="1"/>
    <col min="299" max="299" width="7.5703125" bestFit="1" customWidth="1"/>
    <col min="300" max="300" width="8.85546875" bestFit="1" customWidth="1"/>
    <col min="301" max="301" width="5.85546875" bestFit="1" customWidth="1"/>
    <col min="302" max="302" width="8.85546875" bestFit="1" customWidth="1"/>
    <col min="303" max="303" width="7.5703125" bestFit="1" customWidth="1"/>
    <col min="304" max="304" width="8.85546875" bestFit="1" customWidth="1"/>
    <col min="305" max="305" width="5.85546875" bestFit="1" customWidth="1"/>
    <col min="306" max="306" width="8.85546875" bestFit="1" customWidth="1"/>
    <col min="307" max="307" width="7.5703125" bestFit="1" customWidth="1"/>
    <col min="308" max="308" width="8.85546875" bestFit="1" customWidth="1"/>
    <col min="309" max="309" width="5.85546875" bestFit="1" customWidth="1"/>
    <col min="310" max="310" width="8.85546875" bestFit="1" customWidth="1"/>
    <col min="311" max="311" width="7.5703125" bestFit="1" customWidth="1"/>
    <col min="312" max="312" width="8.85546875" bestFit="1" customWidth="1"/>
    <col min="313" max="313" width="5.85546875" bestFit="1" customWidth="1"/>
    <col min="314" max="314" width="8.85546875" bestFit="1" customWidth="1"/>
    <col min="315" max="315" width="7.5703125" bestFit="1" customWidth="1"/>
    <col min="316" max="316" width="8.85546875" bestFit="1" customWidth="1"/>
    <col min="317" max="317" width="5.85546875" bestFit="1" customWidth="1"/>
    <col min="318" max="318" width="8.85546875" bestFit="1" customWidth="1"/>
    <col min="319" max="319" width="7.5703125" bestFit="1" customWidth="1"/>
    <col min="320" max="320" width="8.85546875" bestFit="1" customWidth="1"/>
    <col min="321" max="321" width="5.85546875" bestFit="1" customWidth="1"/>
    <col min="322" max="322" width="8.85546875" bestFit="1" customWidth="1"/>
    <col min="323" max="323" width="7.5703125" bestFit="1" customWidth="1"/>
    <col min="324" max="324" width="8.85546875" bestFit="1" customWidth="1"/>
    <col min="325" max="325" width="5.85546875" bestFit="1" customWidth="1"/>
    <col min="326" max="326" width="8.85546875" bestFit="1" customWidth="1"/>
    <col min="327" max="327" width="7.5703125" bestFit="1" customWidth="1"/>
    <col min="328" max="328" width="8.85546875" bestFit="1" customWidth="1"/>
    <col min="329" max="329" width="5.85546875" bestFit="1" customWidth="1"/>
    <col min="330" max="330" width="8.85546875" bestFit="1" customWidth="1"/>
    <col min="331" max="331" width="7.5703125" bestFit="1" customWidth="1"/>
    <col min="332" max="332" width="8.85546875" bestFit="1" customWidth="1"/>
    <col min="333" max="333" width="5.85546875" bestFit="1" customWidth="1"/>
    <col min="334" max="334" width="8.85546875" bestFit="1" customWidth="1"/>
    <col min="335" max="335" width="7.5703125" bestFit="1" customWidth="1"/>
    <col min="336" max="336" width="8.85546875" bestFit="1" customWidth="1"/>
    <col min="337" max="337" width="5.85546875" bestFit="1" customWidth="1"/>
    <col min="338" max="338" width="8.85546875" bestFit="1" customWidth="1"/>
    <col min="339" max="339" width="7.5703125" bestFit="1" customWidth="1"/>
    <col min="340" max="340" width="8.85546875" bestFit="1" customWidth="1"/>
    <col min="341" max="341" width="5.85546875" bestFit="1" customWidth="1"/>
    <col min="342" max="342" width="8.85546875" bestFit="1" customWidth="1"/>
    <col min="343" max="343" width="7.5703125" bestFit="1" customWidth="1"/>
    <col min="344" max="344" width="8.85546875" bestFit="1" customWidth="1"/>
    <col min="345" max="345" width="5.85546875" bestFit="1" customWidth="1"/>
    <col min="346" max="346" width="8.85546875" bestFit="1" customWidth="1"/>
    <col min="347" max="347" width="7.5703125" bestFit="1" customWidth="1"/>
    <col min="348" max="348" width="8.85546875" bestFit="1" customWidth="1"/>
    <col min="349" max="349" width="5.85546875" bestFit="1" customWidth="1"/>
    <col min="350" max="350" width="8.85546875" bestFit="1" customWidth="1"/>
    <col min="351" max="351" width="7.5703125" bestFit="1" customWidth="1"/>
    <col min="352" max="352" width="8.85546875" bestFit="1" customWidth="1"/>
    <col min="353" max="353" width="5.85546875" bestFit="1" customWidth="1"/>
    <col min="354" max="354" width="8.85546875" bestFit="1" customWidth="1"/>
    <col min="355" max="355" width="7.5703125" bestFit="1" customWidth="1"/>
    <col min="356" max="356" width="8.85546875" bestFit="1" customWidth="1"/>
    <col min="357" max="357" width="5.85546875" bestFit="1" customWidth="1"/>
    <col min="358" max="358" width="8.85546875" bestFit="1" customWidth="1"/>
    <col min="359" max="359" width="7.5703125" bestFit="1" customWidth="1"/>
    <col min="360" max="360" width="8.85546875" bestFit="1" customWidth="1"/>
    <col min="361" max="361" width="5.85546875" bestFit="1" customWidth="1"/>
    <col min="362" max="362" width="8.85546875" bestFit="1" customWidth="1"/>
    <col min="363" max="363" width="7.5703125" bestFit="1" customWidth="1"/>
    <col min="364" max="364" width="8.85546875" bestFit="1" customWidth="1"/>
    <col min="365" max="365" width="5.85546875" bestFit="1" customWidth="1"/>
    <col min="366" max="366" width="8.85546875" bestFit="1" customWidth="1"/>
    <col min="367" max="367" width="7.5703125" bestFit="1" customWidth="1"/>
    <col min="368" max="368" width="8.85546875" bestFit="1" customWidth="1"/>
    <col min="369" max="369" width="5.85546875" bestFit="1" customWidth="1"/>
    <col min="370" max="370" width="8.85546875" bestFit="1" customWidth="1"/>
    <col min="371" max="371" width="7.5703125" bestFit="1" customWidth="1"/>
    <col min="372" max="372" width="8.85546875" bestFit="1" customWidth="1"/>
    <col min="373" max="373" width="5.85546875" bestFit="1" customWidth="1"/>
    <col min="374" max="374" width="8.85546875" bestFit="1" customWidth="1"/>
    <col min="375" max="375" width="7.5703125" bestFit="1" customWidth="1"/>
    <col min="376" max="376" width="8.85546875" bestFit="1" customWidth="1"/>
    <col min="377" max="377" width="5.85546875" bestFit="1" customWidth="1"/>
    <col min="378" max="378" width="8.85546875" bestFit="1" customWidth="1"/>
    <col min="379" max="379" width="7.5703125" bestFit="1" customWidth="1"/>
    <col min="380" max="380" width="8.85546875" bestFit="1" customWidth="1"/>
    <col min="381" max="381" width="5.85546875" bestFit="1" customWidth="1"/>
    <col min="382" max="382" width="8.85546875" bestFit="1" customWidth="1"/>
    <col min="383" max="383" width="7.5703125" bestFit="1" customWidth="1"/>
    <col min="384" max="384" width="8.85546875" bestFit="1" customWidth="1"/>
    <col min="385" max="385" width="5.85546875" bestFit="1" customWidth="1"/>
    <col min="386" max="386" width="8.85546875" bestFit="1" customWidth="1"/>
    <col min="387" max="387" width="7.5703125" bestFit="1" customWidth="1"/>
    <col min="388" max="388" width="8.85546875" bestFit="1" customWidth="1"/>
    <col min="389" max="389" width="5.85546875" bestFit="1" customWidth="1"/>
    <col min="390" max="390" width="8.85546875" bestFit="1" customWidth="1"/>
    <col min="391" max="391" width="7.5703125" bestFit="1" customWidth="1"/>
    <col min="392" max="392" width="8.85546875" bestFit="1" customWidth="1"/>
    <col min="393" max="393" width="5.85546875" bestFit="1" customWidth="1"/>
    <col min="394" max="394" width="8.85546875" bestFit="1" customWidth="1"/>
    <col min="395" max="395" width="7.5703125" bestFit="1" customWidth="1"/>
    <col min="396" max="396" width="8.85546875" bestFit="1" customWidth="1"/>
    <col min="397" max="397" width="5.85546875" bestFit="1" customWidth="1"/>
    <col min="398" max="398" width="8.85546875" bestFit="1" customWidth="1"/>
    <col min="399" max="399" width="7.5703125" bestFit="1" customWidth="1"/>
    <col min="400" max="400" width="8.85546875" bestFit="1" customWidth="1"/>
    <col min="401" max="401" width="5.85546875" bestFit="1" customWidth="1"/>
    <col min="402" max="402" width="8.85546875" bestFit="1" customWidth="1"/>
    <col min="403" max="403" width="7.5703125" bestFit="1" customWidth="1"/>
    <col min="404" max="404" width="8.85546875" bestFit="1" customWidth="1"/>
    <col min="405" max="405" width="5.85546875" bestFit="1" customWidth="1"/>
    <col min="406" max="406" width="8.85546875" bestFit="1" customWidth="1"/>
    <col min="407" max="407" width="7.5703125" bestFit="1" customWidth="1"/>
    <col min="408" max="408" width="8.85546875" bestFit="1" customWidth="1"/>
    <col min="409" max="409" width="11.28515625" bestFit="1" customWidth="1"/>
  </cols>
  <sheetData>
    <row r="1" spans="1:25" x14ac:dyDescent="0.25">
      <c r="A1" s="5" t="s">
        <v>501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</sheetData>
  <mergeCells count="1">
    <mergeCell ref="A1:Y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Pivot Tables</vt:lpstr>
      <vt:lpstr>Income Analysis</vt:lpstr>
      <vt:lpstr>Personal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KASHYAP</dc:creator>
  <cp:lastModifiedBy>JATIN KASHYAP</cp:lastModifiedBy>
  <dcterms:created xsi:type="dcterms:W3CDTF">2026-06-09T10:35:12Z</dcterms:created>
  <dcterms:modified xsi:type="dcterms:W3CDTF">2026-06-09T15:06:59Z</dcterms:modified>
</cp:coreProperties>
</file>